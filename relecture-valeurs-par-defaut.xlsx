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Gros œuvre et maçonnerie" sheetId="2" state="visible" r:id="rId4"/>
    <sheet name="Synthèse" sheetId="3" state="visible" r:id="rId5"/>
    <sheet name="Aménagements extérieurs" sheetId="4" state="visible" r:id="rId6"/>
    <sheet name="Plâtrerie et isolation" sheetId="5" state="visible" r:id="rId7"/>
    <sheet name="Menuiserie" sheetId="6" state="visible" r:id="rId8"/>
    <sheet name="Plomberie, chauffage et ventila" sheetId="7" state="visible" r:id="rId9"/>
    <sheet name="Électricité" sheetId="8" state="visible" r:id="rId10"/>
    <sheet name="Sols" sheetId="9" state="visible" r:id="rId11"/>
    <sheet name="Murs intérieurs" sheetId="10" state="visible" r:id="rId12"/>
    <sheet name="Façades" sheetId="11" state="visible" r:id="rId13"/>
    <sheet name="Charpente" sheetId="12" state="visible" r:id="rId14"/>
    <sheet name="Couverture" sheetId="13" state="visible" r:id="rId15"/>
  </sheets>
  <definedNames>
    <definedName function="false" hidden="true" localSheetId="3" name="_xlnm._FilterDatabase" vbProcedure="false">'Aménagements extérieurs'!$A$4:$J$29</definedName>
    <definedName function="false" hidden="true" localSheetId="11" name="_xlnm._FilterDatabase" vbProcedure="false">Charpente!$A$4:$J$7</definedName>
    <definedName function="false" hidden="true" localSheetId="12" name="_xlnm._FilterDatabase" vbProcedure="false">Couverture!$A$4:$J$36</definedName>
    <definedName function="false" hidden="true" localSheetId="7" name="_xlnm._FilterDatabase" vbProcedure="false">Électricité!$A$4:$J$12</definedName>
    <definedName function="false" hidden="true" localSheetId="10" name="_xlnm._FilterDatabase" vbProcedure="false">Façades!$A$4:$J$27</definedName>
    <definedName function="false" hidden="true" localSheetId="1" name="_xlnm._FilterDatabase" vbProcedure="false">'Gros œuvre et maçonnerie'!$A$4:$J$35</definedName>
    <definedName function="false" hidden="true" localSheetId="5" name="_xlnm._FilterDatabase" vbProcedure="false">Menuiserie!$A$4:$J$22</definedName>
    <definedName function="false" hidden="true" localSheetId="9" name="_xlnm._FilterDatabase" vbProcedure="false">'Murs intérieurs'!$A$4:$J$36</definedName>
    <definedName function="false" hidden="true" localSheetId="4" name="_xlnm._FilterDatabase" vbProcedure="false">'Plâtrerie et isolation'!$A$4:$J$47</definedName>
    <definedName function="false" hidden="true" localSheetId="6" name="_xlnm._FilterDatabase" vbProcedure="false">'Plomberie, chauffage et ventila'!$A$4:$J$25</definedName>
    <definedName function="false" hidden="true" localSheetId="8" name="_xlnm._FilterDatabase" vbProcedure="false">Sols!$A$4:$J$74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<sst xmlns="http://schemas.openxmlformats.org/spreadsheetml/2006/main" count="1699" uniqueCount="532">
  <si>
    <t xml:space="preserve">Métré — Relecture des valeurs par défaut</t>
  </si>
  <si>
    <t xml:space="preserve">Version du code : Documents › code › projets › moteur-calculateurs, extraction du 4 octobre 2026.</t>
  </si>
  <si>
    <t xml:space="preserve">Pourquoi : chaque calculateur affiche « Valeurs vérifiées le … ». Cette mention doit correspondre à une relecture réelle par un professionnel du métier.</t>
  </si>
  <si>
    <t xml:space="preserve">Un onglet par corps de métier : on peut confier chaque onglet à l’artisan concerné.</t>
  </si>
  <si>
    <t xml:space="preserve">À remplir (cellules jaunes) :</t>
  </si>
  <si>
    <t xml:space="preserve">  • Avis : OK, À corriger, Dépend du produit ou Je ne sais pas (liste déroulante).</t>
  </si>
  <si>
    <t xml:space="preserve">  • Valeur proposée : seulement si l’avis est « À corriger ».</t>
  </si>
  <si>
    <t xml:space="preserve">  • Commentaire ou source : fiche fabricant, DTU, habitude de chantier…</t>
  </si>
  <si>
    <t xml:space="preserve">  • Relu par et date : en haut de chaque onglet.</t>
  </si>
  <si>
    <t xml:space="preserve">Catégories :</t>
  </si>
  <si>
    <t xml:space="preserve">  1. Ratio ou consommation : marges, rendements, consommations, recouvrements, entraxes. À relire en priorité (lignes rosées).</t>
  </si>
  <si>
    <t xml:space="preserve">  2. Format de produit : poids des sacs, longueurs et surfaces des produits vendus.</t>
  </si>
  <si>
    <t xml:space="preserve">  3. Choix proposé : listes et cases. Vérifier que les options et la valeur cochée par défaut sont réalistes.</t>
  </si>
  <si>
    <t xml:space="preserve">Les dimensions d’exemple du chantier (longueur d’un mur, surface d’une pièce…) sont exclues : l’internaute les remplace toujours.</t>
  </si>
  <si>
    <t xml:space="preserve">Exemple de ligne remplie :</t>
  </si>
  <si>
    <t xml:space="preserve">Calculateur</t>
  </si>
  <si>
    <t xml:space="preserve">Champ</t>
  </si>
  <si>
    <t xml:space="preserve">Catégorie</t>
  </si>
  <si>
    <t xml:space="preserve">Valeur par défaut</t>
  </si>
  <si>
    <t xml:space="preserve">Unité</t>
  </si>
  <si>
    <t xml:space="preserve">Bornes</t>
  </si>
  <si>
    <t xml:space="preserve">Aide affichée ou options</t>
  </si>
  <si>
    <t xml:space="preserve">Avis</t>
  </si>
  <si>
    <t xml:space="preserve">Valeur proposée</t>
  </si>
  <si>
    <t xml:space="preserve">Commentaire ou source</t>
  </si>
  <si>
    <t xml:space="preserve">Carrelage</t>
  </si>
  <si>
    <t xml:space="preserve">Marge pour la casse (marge)</t>
  </si>
  <si>
    <t xml:space="preserve">1. Ratio ou consommation</t>
  </si>
  <si>
    <t xml:space="preserve">%</t>
  </si>
  <si>
    <t xml:space="preserve">0 à 50</t>
  </si>
  <si>
    <t xml:space="preserve">Carreaux cassés à la coupe…</t>
  </si>
  <si>
    <t xml:space="preserve">À corriger</t>
  </si>
  <si>
    <t xml:space="preserve">En grand format, je compte plutôt 10 %.</t>
  </si>
  <si>
    <t xml:space="preserve">Gros œuvre et maçonnerie</t>
  </si>
  <si>
    <t xml:space="preserve">Relu par :</t>
  </si>
  <si>
    <t xml:space="preserve">Date :</t>
  </si>
  <si>
    <t xml:space="preserve">parpaings, briques et blocs pour un mur</t>
  </si>
  <si>
    <t xml:space="preserve">Épaisseur du joint, format autre (jointAutre)</t>
  </si>
  <si>
    <t xml:space="preserve">mm</t>
  </si>
  <si>
    <t xml:space="preserve">0 à 30</t>
  </si>
  <si>
    <t xml:space="preserve">Marge pour la casse et les coupes (marge)</t>
  </si>
  <si>
    <t xml:space="preserve">Mortier ou colle (mortier)</t>
  </si>
  <si>
    <t xml:space="preserve">kg par m²</t>
  </si>
  <si>
    <t xml:space="preserve">0 à —</t>
  </si>
  <si>
    <t xml:space="preserve">Selon le fabricant : environ 20 à 25 kg par m² pour un parpaing monté au mortier, quelques kg en joint mince collé.</t>
  </si>
  <si>
    <t xml:space="preserve">Section de béton d’un chaînage (sectionChainage)</t>
  </si>
  <si>
    <t xml:space="preserve">cm²</t>
  </si>
  <si>
    <t xml:space="preserve">50 à —</t>
  </si>
  <si>
    <t xml:space="preserve">15 × 20 cm = 300 cm² ; selon le bloc de chaînage utilisé.</t>
  </si>
  <si>
    <t xml:space="preserve">Enduit hydrofuge par m² (consommationHydrofuge)</t>
  </si>
  <si>
    <t xml:space="preserve">kg</t>
  </si>
  <si>
    <t xml:space="preserve">Selon l’épaisseur : environ 1,5 à 2 kg par m² et par mm.</t>
  </si>
  <si>
    <t xml:space="preserve">terrassement et de déblai avec foisonnement</t>
  </si>
  <si>
    <t xml:space="preserve">Coefficient de foisonnement personnalisé (coefficient)</t>
  </si>
  <si>
    <t xml:space="preserve">1 à 2.5</t>
  </si>
  <si>
    <t xml:space="preserve">Laissez vide pour le coefficient de la nature du sol.</t>
  </si>
  <si>
    <t xml:space="preserve">treillis soudé pour une dalle</t>
  </si>
  <si>
    <t xml:space="preserve">Recouvrement entre panneaux (recouvrement)</t>
  </si>
  <si>
    <t xml:space="preserve">cm</t>
  </si>
  <si>
    <t xml:space="preserve">0 à 100</t>
  </si>
  <si>
    <t xml:space="preserve">Souvent deux mailles ; la valeur exacte dépend du treillis et de l’ouvrage : à vérifier.</t>
  </si>
  <si>
    <t xml:space="preserve">Cales d’enrobage par m² (calesM2)</t>
  </si>
  <si>
    <t xml:space="preserve">Valeur indicative, à vérifier : elles maintiennent le treillis dans l’épaisseur du béton.</t>
  </si>
  <si>
    <t xml:space="preserve">longueurs de linteaux</t>
  </si>
  <si>
    <t xml:space="preserve">Appui de chaque côté (appui)</t>
  </si>
  <si>
    <t xml:space="preserve">5 à —</t>
  </si>
  <si>
    <t xml:space="preserve">Longueur posée sur la maçonnerie de part et d’autre, selon le fabricant.</t>
  </si>
  <si>
    <t xml:space="preserve">Pas des longueurs vendues (pas)</t>
  </si>
  <si>
    <t xml:space="preserve">m</t>
  </si>
  <si>
    <t xml:space="preserve">0.05 à —</t>
  </si>
  <si>
    <t xml:space="preserve">Les linteaux préfabriqués existent souvent de 20 cm en 20 cm.</t>
  </si>
  <si>
    <t xml:space="preserve">volume de béton</t>
  </si>
  <si>
    <t xml:space="preserve">Marge de sécurité (marge)</t>
  </si>
  <si>
    <t xml:space="preserve">Béton obtenu avec un sac prêt à gâcher (rendementSac)</t>
  </si>
  <si>
    <t xml:space="preserve">litres</t>
  </si>
  <si>
    <t xml:space="preserve">1 à —</t>
  </si>
  <si>
    <t xml:space="preserve">Indiqué sur le sac (souvent 11 à 13 L pour 25 kg).</t>
  </si>
  <si>
    <t xml:space="preserve">un drainage périphérique</t>
  </si>
  <si>
    <t xml:space="preserve">Épaisseur du lit de gravier (epaisseurGravier)</t>
  </si>
  <si>
    <t xml:space="preserve">10 à —</t>
  </si>
  <si>
    <t xml:space="preserve">un escalier : formule de Blondel</t>
  </si>
  <si>
    <t xml:space="preserve">Valeur de Blondel visée (blondel)</t>
  </si>
  <si>
    <t xml:space="preserve">58 à 66</t>
  </si>
  <si>
    <t xml:space="preserve">2 × hauteur + giron, entre 60 et 64 cm pour un pas confortable.</t>
  </si>
  <si>
    <t xml:space="preserve">Hauteur du bloc, format autre (hauteurBloc)</t>
  </si>
  <si>
    <t xml:space="preserve">2. Format de produit</t>
  </si>
  <si>
    <t xml:space="preserve">Longueur du bloc, format autre (longueurBloc)</t>
  </si>
  <si>
    <t xml:space="preserve">Poids d’un sac de mortier ou de colle (poidsSac)</t>
  </si>
  <si>
    <t xml:space="preserve">Profondeur moyenne (profondeur)</t>
  </si>
  <si>
    <t xml:space="preserve">0.05 à 20</t>
  </si>
  <si>
    <t xml:space="preserve">Contenance d’une benne ou d’un camion (capacite)</t>
  </si>
  <si>
    <t xml:space="preserve">m³</t>
  </si>
  <si>
    <t xml:space="preserve">0.5 à 40</t>
  </si>
  <si>
    <t xml:space="preserve">Mini-benne : 3 à 6 m³ ; camion benne : environ 10 à 15 m³.</t>
  </si>
  <si>
    <t xml:space="preserve">Longueur d’un panneau (longueurPanneau)</t>
  </si>
  <si>
    <t xml:space="preserve">1 à 12</t>
  </si>
  <si>
    <t xml:space="preserve">Format courant : 6,00 × 2,40 m.</t>
  </si>
  <si>
    <t xml:space="preserve">Largeur d’un panneau (largeurPanneau)</t>
  </si>
  <si>
    <t xml:space="preserve">0.5 à 4</t>
  </si>
  <si>
    <t xml:space="preserve">Poids d’un sac de ciment (poidsSacCiment)</t>
  </si>
  <si>
    <t xml:space="preserve">Longueur d’un rouleau de drain (longueurRouleauDrain)</t>
  </si>
  <si>
    <t xml:space="preserve">Surface d’un rouleau de membrane (surfaceMembrane)</t>
  </si>
  <si>
    <t xml:space="preserve">m²</t>
  </si>
  <si>
    <t xml:space="preserve">Surface d’un rouleau de géotextile (surfaceGeotextile)</t>
  </si>
  <si>
    <t xml:space="preserve">Type de bloc (bloc)</t>
  </si>
  <si>
    <t xml:space="preserve">3. Choix proposé</t>
  </si>
  <si>
    <t xml:space="preserve">Options : Parpaing 20 × 50 cm, joint de 1 cm | Brique de construction 20 × 50 cm, joint mince collé | Béton cellulaire 25 × 62,5 cm, joint mince collé | Carreau de plâtre 50 × 66 cm, collé | Autre format : dimensions ci-dessous</t>
  </si>
  <si>
    <t xml:space="preserve">Prévoir les chaînages (chainages)</t>
  </si>
  <si>
    <t xml:space="preserve">Non cochée</t>
  </si>
  <si>
    <t xml:space="preserve">Chaînage horizontal en haut du mur et chaînage vertical à chaque angle, en armatures préfabriquées.</t>
  </si>
  <si>
    <t xml:space="preserve">Nature du sol (sol)</t>
  </si>
  <si>
    <t xml:space="preserve">Options : Sable, gravier (1,12) | Terre végétale ou terre ordinaire (1,25) | Argile (1,35) | Roche fragmentée (1,50)
Coefficients de foisonnement d’usage (tables de travaux publics), variables selon l’humidité : à vérifier.</t>
  </si>
  <si>
    <t xml:space="preserve">Ouvrage (ouvrage)</t>
  </si>
  <si>
    <t xml:space="preserve">Options : Dalle ou dallage | Semelle filante (fondation) | Poteaux ou plots</t>
  </si>
  <si>
    <t xml:space="preserve">Fourniture du béton (fourniture)</t>
  </si>
  <si>
    <t xml:space="preserve">Options : Gâché sur place : ciment, sable, gravier | Béton prêt à l’emploi livré en toupie | Sacs de béton prêt à gâcher</t>
  </si>
  <si>
    <t xml:space="preserve">Dosage en ciment (béton gâché) (dosage)</t>
  </si>
  <si>
    <t xml:space="preserve">Options : 250 kg/m³ : béton de propreté | 300 kg/m³ : fondations, dallage courant | 350 kg/m³ : béton armé, dalle, poteaux</t>
  </si>
  <si>
    <t xml:space="preserve">Avancement de la relecture</t>
  </si>
  <si>
    <t xml:space="preserve">Corps de métier</t>
  </si>
  <si>
    <t xml:space="preserve">Valeurs à relire</t>
  </si>
  <si>
    <t xml:space="preserve">Dont prioritaires</t>
  </si>
  <si>
    <t xml:space="preserve">OK</t>
  </si>
  <si>
    <t xml:space="preserve">Dépend du produit</t>
  </si>
  <si>
    <t xml:space="preserve">Je ne sais pas</t>
  </si>
  <si>
    <t xml:space="preserve">Sans avis</t>
  </si>
  <si>
    <t xml:space="preserve">Relu par</t>
  </si>
  <si>
    <t xml:space="preserve">Aménagements extérieurs</t>
  </si>
  <si>
    <t xml:space="preserve">Plâtrerie et isolation</t>
  </si>
  <si>
    <t xml:space="preserve">Menuiserie</t>
  </si>
  <si>
    <t xml:space="preserve">Plomberie, chauffage et ventilation</t>
  </si>
  <si>
    <t xml:space="preserve">Électricité</t>
  </si>
  <si>
    <t xml:space="preserve">Sols</t>
  </si>
  <si>
    <t xml:space="preserve">Murs intérieurs</t>
  </si>
  <si>
    <t xml:space="preserve">Façades</t>
  </si>
  <si>
    <t xml:space="preserve">Charpente</t>
  </si>
  <si>
    <t xml:space="preserve">Couverture</t>
  </si>
  <si>
    <t xml:space="preserve">Total</t>
  </si>
  <si>
    <t xml:space="preserve">gravier, sable et remblai en tonnes</t>
  </si>
  <si>
    <t xml:space="preserve">Marge de tassement (marge)</t>
  </si>
  <si>
    <t xml:space="preserve">0 à 40</t>
  </si>
  <si>
    <t xml:space="preserve">pavés, sable et grave pour une allée</t>
  </si>
  <si>
    <t xml:space="preserve">Pavés au m² (pavesM2)</t>
  </si>
  <si>
    <t xml:space="preserve">Indiqué par le fabricant ; environ 50 pour un pavé de 20 × 10 cm.</t>
  </si>
  <si>
    <t xml:space="preserve">Épaisseur du lit de sable (litPose)</t>
  </si>
  <si>
    <t xml:space="preserve">1 à 10</t>
  </si>
  <si>
    <t xml:space="preserve">Marge pour les coupes (marge)</t>
  </si>
  <si>
    <t xml:space="preserve">une clôture : panneaux, grillage et poteaux</t>
  </si>
  <si>
    <t xml:space="preserve">Côté du trou de scellement (coteTrou)</t>
  </si>
  <si>
    <t xml:space="preserve">Profondeur du trou de scellement (profondeurTrou)</t>
  </si>
  <si>
    <t xml:space="preserve">20 à —</t>
  </si>
  <si>
    <t xml:space="preserve">une terrasse en lames bois ou composite</t>
  </si>
  <si>
    <t xml:space="preserve">Espacement entre lames (espacement)</t>
  </si>
  <si>
    <t xml:space="preserve">0 à 15</t>
  </si>
  <si>
    <t xml:space="preserve">Écartement des plots sous une lambourde (entraxePlots)</t>
  </si>
  <si>
    <t xml:space="preserve">Vis ou clips par boîte (fixationsParBoite)</t>
  </si>
  <si>
    <t xml:space="preserve">Poids d’un sac (poidsSac)</t>
  </si>
  <si>
    <t xml:space="preserve">Poids d’un big bag (poidsBigBag)</t>
  </si>
  <si>
    <t xml:space="preserve">100 à —</t>
  </si>
  <si>
    <t xml:space="preserve">Largeur d’un panneau, ou écart entre poteaux pour le grillage (largeurPanneau)</t>
  </si>
  <si>
    <t xml:space="preserve">0.5 à 5</t>
  </si>
  <si>
    <t xml:space="preserve">Longueur d’un rouleau de grillage (longueurRouleau)</t>
  </si>
  <si>
    <t xml:space="preserve">Largeur d’une lame (largeurLame)</t>
  </si>
  <si>
    <t xml:space="preserve">5 à 40</t>
  </si>
  <si>
    <t xml:space="preserve">Longueur d’une lame (longueurLame)</t>
  </si>
  <si>
    <t xml:space="preserve">0.5 à 6</t>
  </si>
  <si>
    <t xml:space="preserve">Longueur d’une lambourde (longueurLambourde)</t>
  </si>
  <si>
    <t xml:space="preserve">Matériau (materiau)</t>
  </si>
  <si>
    <t xml:space="preserve">Options : Gravier ou gravillon décoratif (1,5 t/m³) | Sable, galets (1,6 t/m³) | Terre végétale (1,3 t/m³) | Tout-venant ou grave compactée (2 t/m³)</t>
  </si>
  <si>
    <t xml:space="preserve">Usage (usage)</t>
  </si>
  <si>
    <t xml:space="preserve">Options : Piétons : environ 15 cm de fondation | Véhicules légers : environ 25 cm de fondation</t>
  </si>
  <si>
    <t xml:space="preserve">Type de clôture (type)</t>
  </si>
  <si>
    <t xml:space="preserve">Options : Panneaux rigides | Grillage souple en rouleau</t>
  </si>
  <si>
    <t xml:space="preserve">Fixation des poteaux (scellement)</t>
  </si>
  <si>
    <t xml:space="preserve">Options : Scellés au béton | Sur platines, fixées sur un muret ou une dalle</t>
  </si>
  <si>
    <t xml:space="preserve">Entraxe des lambourdes (entraxe)</t>
  </si>
  <si>
    <t xml:space="preserve">Options : 50 cm, lames bois courantes | 40 cm, lames composites | 60 cm, lames bois épaisses</t>
  </si>
  <si>
    <t xml:space="preserve">Fixation des lames (fixation)</t>
  </si>
  <si>
    <t xml:space="preserve">Options : Vis : 2 par lame et par lambourde | Clips invisibles : 1 par croisement</t>
  </si>
  <si>
    <t xml:space="preserve">la quantité de laine de roche</t>
  </si>
  <si>
    <t xml:space="preserve">Résistance thermique visée (R) (resistance)</t>
  </si>
  <si>
    <t xml:space="preserve">m².K/W</t>
  </si>
  <si>
    <t xml:space="preserve">0.5 à 15</t>
  </si>
  <si>
    <t xml:space="preserve">Fixée par votre projet ou par les conditions des aides à la rénovation.</t>
  </si>
  <si>
    <t xml:space="preserve">Conductivité thermique de l’isolant (λ) (lambda)</t>
  </si>
  <si>
    <t xml:space="preserve">W/m.K</t>
  </si>
  <si>
    <t xml:space="preserve">0.015 à 0.1</t>
  </si>
  <si>
    <t xml:space="preserve">Inscrite sur l’emballage : plus elle est basse, plus l’isolant est performant à épaisseur égale.</t>
  </si>
  <si>
    <t xml:space="preserve">Marge pour les découpes (marge)</t>
  </si>
  <si>
    <t xml:space="preserve">Surface d’un rouleau de pare-vapeur (surfacePareVapeur)</t>
  </si>
  <si>
    <t xml:space="preserve">Adhésif par m² de pare-vapeur (adhesifM2)</t>
  </si>
  <si>
    <t xml:space="preserve">Raccords entre lés et en périphérie : environ 1 m par m².</t>
  </si>
  <si>
    <t xml:space="preserve">la quantité de laine de verre</t>
  </si>
  <si>
    <t xml:space="preserve">plaques de plâtre, rails et montants</t>
  </si>
  <si>
    <t xml:space="preserve">Marge pour les coupes et la casse (marge)</t>
  </si>
  <si>
    <t xml:space="preserve">Vis par plaque (visParPlaque)</t>
  </si>
  <si>
    <t xml:space="preserve">Indicatif : une vis tous les 30 cm au plus sur chaque montant. Vérifiez la fiche du fabricant.</t>
  </si>
  <si>
    <t xml:space="preserve">Enduit à joint par m² de parement (enduitM2)</t>
  </si>
  <si>
    <t xml:space="preserve">Indiqué sur le sac ou le seau ; environ 0,3 à 0,4 kg par m².</t>
  </si>
  <si>
    <t xml:space="preserve">isolation soufflée des combles</t>
  </si>
  <si>
    <t xml:space="preserve">Conductivité thermique (λ), si différente (lambda)</t>
  </si>
  <si>
    <t xml:space="preserve">0 à 0.1</t>
  </si>
  <si>
    <t xml:space="preserve">0 : valeur courante du produit choisi.</t>
  </si>
  <si>
    <t xml:space="preserve">Masse volumique en place, si différente (masseVolumique)</t>
  </si>
  <si>
    <t xml:space="preserve">kg/m³</t>
  </si>
  <si>
    <t xml:space="preserve">0 à 80</t>
  </si>
  <si>
    <t xml:space="preserve">un plafond suspendu en plaques de plâtre</t>
  </si>
  <si>
    <t xml:space="preserve">Espacement des suspentes sur une fourrure (espacementSuspentes)</t>
  </si>
  <si>
    <t xml:space="preserve">0.3 à —</t>
  </si>
  <si>
    <t xml:space="preserve">Indicatif : une vis tous les 20 cm environ sur chaque fourrure.</t>
  </si>
  <si>
    <t xml:space="preserve">Épaisseur d’un rouleau ou d’un panneau (epaisseurProduit)</t>
  </si>
  <si>
    <t xml:space="preserve">Surface couverte par un colis (surfaceColis)</t>
  </si>
  <si>
    <t xml:space="preserve">0.1 à —</t>
  </si>
  <si>
    <t xml:space="preserve">Inscrite sur l’emballage du rouleau ou du paquet de panneaux.</t>
  </si>
  <si>
    <t xml:space="preserve">Longueur d’un rouleau d’adhésif (longueurAdhesif)</t>
  </si>
  <si>
    <t xml:space="preserve">Longueur d’un rail (longueurRail)</t>
  </si>
  <si>
    <t xml:space="preserve">0.5 à —</t>
  </si>
  <si>
    <t xml:space="preserve">Poids d’un sac ou d’un seau d’enduit (poidsEnduit)</t>
  </si>
  <si>
    <t xml:space="preserve">Longueur d’un rouleau de bande à joint (longueurBande)</t>
  </si>
  <si>
    <t xml:space="preserve">Longueur d’une fourrure ou d’une cornière (longueurFourrure)</t>
  </si>
  <si>
    <t xml:space="preserve">Paroi à isoler (paroi)</t>
  </si>
  <si>
    <t xml:space="preserve">Options : Autre : résistance saisie ci-dessus | Combles perdus : R = 7 | Rampants ou plafond de combles aménagés : R = 6 | Murs : R = 3,7 | Plancher bas : R = 3
Résistances minimales demandées pour les aides à la rénovation (MaPrimeRénov’, CEE), à vérifier chaque année sur france-renov.gouv.fr.</t>
  </si>
  <si>
    <t xml:space="preserve">Prévoir un pare-vapeur et son adhésif d’étanchéité (pareVapeur)</t>
  </si>
  <si>
    <t xml:space="preserve">Cochée</t>
  </si>
  <si>
    <t xml:space="preserve">Côté chauffé ; certains isolants ou systèmes n’en demandent pas : voir la notice.</t>
  </si>
  <si>
    <t xml:space="preserve">Type d’ouvrage (ouvrage)</t>
  </si>
  <si>
    <t xml:space="preserve">Options : Cloison : plaques sur les deux faces | Doublage d’un mur : plaques sur une face</t>
  </si>
  <si>
    <t xml:space="preserve">Épaisseur de parement (peau)</t>
  </si>
  <si>
    <t xml:space="preserve">Options : Une plaque par face (simple peau) | Deux plaques par face (double peau, meilleure isolation phonique)</t>
  </si>
  <si>
    <t xml:space="preserve">Type de plaque (typePlaque)</t>
  </si>
  <si>
    <t xml:space="preserve">Options : Standard | Hydrofuge (pièces humides) | Phonique | Résistante au feu | Haute dureté
Même calcul pour tous les types ; le type est repris dans le récapitulatif.</t>
  </si>
  <si>
    <t xml:space="preserve">Longueur des plaques et des montants (hauteurPlaque)</t>
  </si>
  <si>
    <t xml:space="preserve">Options : 2,50 m | 2,60 m | 2,70 m | 2,80 m | 3,00 m</t>
  </si>
  <si>
    <t xml:space="preserve">Entraxe des montants (entraxe)</t>
  </si>
  <si>
    <t xml:space="preserve">Options : 60 cm, cas courant | 40 cm, pièce humide ou carrelage sur la cloison</t>
  </si>
  <si>
    <t xml:space="preserve">Prévoir un isolant acoustique entre les montants (isolant)</t>
  </si>
  <si>
    <t xml:space="preserve">Laine minérale posée dans l’ossature : c’est elle qui fait l’essentiel de l’isolation acoustique d’une cloison.</t>
  </si>
  <si>
    <t xml:space="preserve">Isolant (produit)</t>
  </si>
  <si>
    <t xml:space="preserve">Options : Laine de verre soufflée | Laine de roche soufflée | Ouate de cellulose
Valeurs courantes de conductivité et de masse volumique en place ; corrigez-les avec la fiche du produit dans les réglages avancés.</t>
  </si>
  <si>
    <t xml:space="preserve">Longueur des plaques (largeur 1,20 m) (longueurPlaque)</t>
  </si>
  <si>
    <t xml:space="preserve">Options : 2,50 m | 2,60 m | 3,00 m</t>
  </si>
  <si>
    <t xml:space="preserve">Entraxe des fourrures (entraxe)</t>
  </si>
  <si>
    <t xml:space="preserve">Options : 50 cm, cas courant | 40 cm, plafond chargé ou plaque plus souple | 60 cm, selon le fabricant</t>
  </si>
  <si>
    <t xml:space="preserve">lambris et de bardage</t>
  </si>
  <si>
    <t xml:space="preserve">Fixations par m² (fixationsM2)</t>
  </si>
  <si>
    <t xml:space="preserve">Pointes, agrafes, clips ou vis, selon la lame et la notice.</t>
  </si>
  <si>
    <t xml:space="preserve">Surface d’un rouleau de pare-pluie (surfacePareP)</t>
  </si>
  <si>
    <t xml:space="preserve">Marge pour les coupes en pose droite (marge)</t>
  </si>
  <si>
    <t xml:space="preserve">Taux de chute personnalisé (tauxChute)</t>
  </si>
  <si>
    <t xml:space="preserve">Laissez vide pour la marge ou le forfait de la pose.</t>
  </si>
  <si>
    <t xml:space="preserve">un plancher bois : solives et panneaux</t>
  </si>
  <si>
    <t xml:space="preserve">Appui à chaque extrémité (appui)</t>
  </si>
  <si>
    <t xml:space="preserve">Vis par m² de panneaux (visM2)</t>
  </si>
  <si>
    <t xml:space="preserve">Largeur utile d’une lame (largeurUtile)</t>
  </si>
  <si>
    <t xml:space="preserve">3 à 40</t>
  </si>
  <si>
    <t xml:space="preserve">Longueur d’un tasseau (longueurTasseau)</t>
  </si>
  <si>
    <t xml:space="preserve">Longueur maximale des solives vendues (longueurVendue)</t>
  </si>
  <si>
    <t xml:space="preserve">Surface d’un panneau (surfacePanneau)</t>
  </si>
  <si>
    <t xml:space="preserve">0.2 à —</t>
  </si>
  <si>
    <t xml:space="preserve">Panneau rainuré de 2,50 × 0,675 m : 1,6875 m².</t>
  </si>
  <si>
    <t xml:space="preserve">Options : Lambris intérieur | Bardage de façade</t>
  </si>
  <si>
    <t xml:space="preserve">Sens de pose des lames (sens)</t>
  </si>
  <si>
    <t xml:space="preserve">Options : Lames horizontales, tasseaux verticaux | Lames verticales, tasseaux horizontaux</t>
  </si>
  <si>
    <t xml:space="preserve">Type de pose (poseLames)</t>
  </si>
  <si>
    <t xml:space="preserve">Options : Droite | En diagonale | En chevrons
Pose droite : la marge des réglages avancés. Diagonale et chevrons : forfait, modifiable.</t>
  </si>
  <si>
    <t xml:space="preserve">Entraxe des tasseaux (entraxe)</t>
  </si>
  <si>
    <t xml:space="preserve">Options : 40 cm | 50 cm | 60 cm</t>
  </si>
  <si>
    <t xml:space="preserve">Prévoir un pare-pluie (bardage de façade) (pareP)</t>
  </si>
  <si>
    <t xml:space="preserve">Entraxe des solives (entraxe)</t>
  </si>
  <si>
    <t xml:space="preserve">la capacité d’un ballon d’eau chaude</t>
  </si>
  <si>
    <t xml:space="preserve">Eau à 40 °C fournie par litre de ballon (V40) (coefficientV40)</t>
  </si>
  <si>
    <t xml:space="preserve">Environ 1,8 pour un ballon chauffé vers 60 °C ; la valeur exacte est sur la fiche du ballon.</t>
  </si>
  <si>
    <t xml:space="preserve">Marge pour les pointes de consommation (marge)</t>
  </si>
  <si>
    <t xml:space="preserve">débit de VMC par pièce</t>
  </si>
  <si>
    <t xml:space="preserve">WC séparés (pièces WC) (wcSepares)</t>
  </si>
  <si>
    <t xml:space="preserve">0 à 10</t>
  </si>
  <si>
    <t xml:space="preserve">la puissance de chauffage nécessaire</t>
  </si>
  <si>
    <t xml:space="preserve">Température intérieure souhaitée (temperatureInterieure)</t>
  </si>
  <si>
    <t xml:space="preserve">°C</t>
  </si>
  <si>
    <t xml:space="preserve">10 à 26</t>
  </si>
  <si>
    <t xml:space="preserve">Température extérieure de base (temperatureExterieure)</t>
  </si>
  <si>
    <t xml:space="preserve">-30 à 10</t>
  </si>
  <si>
    <t xml:space="preserve">Température la plus froide retenue pour votre département : de -2 °C en bord de Méditerranée à -15 °C en montagne.</t>
  </si>
  <si>
    <t xml:space="preserve">Puissance d’un radiateur (puissanceRadiateur)</t>
  </si>
  <si>
    <t xml:space="preserve">W</t>
  </si>
  <si>
    <t xml:space="preserve">Salles de bains ou de douches (sallesDeBains)</t>
  </si>
  <si>
    <t xml:space="preserve">un réseau de plomberie par point d’eau</t>
  </si>
  <si>
    <t xml:space="preserve">Lavabos et vasques (lavabos)</t>
  </si>
  <si>
    <t xml:space="preserve">Éviers (eviers)</t>
  </si>
  <si>
    <t xml:space="preserve">0 à 20</t>
  </si>
  <si>
    <t xml:space="preserve">Douches (douches)</t>
  </si>
  <si>
    <t xml:space="preserve">Baignoires (baignoires)</t>
  </si>
  <si>
    <t xml:space="preserve">WC (wc)</t>
  </si>
  <si>
    <t xml:space="preserve">Lave-linge (laveLinge)</t>
  </si>
  <si>
    <t xml:space="preserve">Lave-vaisselle (laveVaisselle)</t>
  </si>
  <si>
    <t xml:space="preserve">Distance moyenne nourrice – point d’eau (distanceAlimentation)</t>
  </si>
  <si>
    <t xml:space="preserve">0.5 à 50</t>
  </si>
  <si>
    <t xml:space="preserve">Distance moyenne point d’eau – chute (distanceEvacuation)</t>
  </si>
  <si>
    <t xml:space="preserve">Longueur d’une couronne de tube (longueurCouronne)</t>
  </si>
  <si>
    <t xml:space="preserve">Longueur d’une barre de PVC (longueurBarre)</t>
  </si>
  <si>
    <t xml:space="preserve">Niveau d’isolation (isolation)</t>
  </si>
  <si>
    <t xml:space="preserve">Options : Bonne : construction récente ou rénovation complète | Correcte : isolation des années 2000 | Moyenne : isolation partielle ou ancienne | Faible : logement peu ou pas isolé
Coefficient indicatif de déperdition en W par m³ et par °C.</t>
  </si>
  <si>
    <t xml:space="preserve">Pièces principales (séjour et chambres) (pieces)</t>
  </si>
  <si>
    <t xml:space="preserve">Options : 1 | 2 | 3 | 4 | 5 | 6 | 7 et plus
Un séjour ouvert sur une chambre sans cloison compte pour deux pièces principales.</t>
  </si>
  <si>
    <t xml:space="preserve">Un WC se trouve aussi dans une salle de bains (wcDansSalleDEau)</t>
  </si>
  <si>
    <t xml:space="preserve">Il compte pour savoir si les WC sont « multiples ».</t>
  </si>
  <si>
    <t xml:space="preserve">gaine, de fil et de boîtes électriques</t>
  </si>
  <si>
    <t xml:space="preserve">Longueur moyenne de gaine par point (longueurParPoint)</t>
  </si>
  <si>
    <t xml:space="preserve">1 à 40</t>
  </si>
  <si>
    <t xml:space="preserve">Du tableau ou du point précédent du même circuit : souvent 4 à 8 m dans une maison.</t>
  </si>
  <si>
    <t xml:space="preserve">Prises de courant (prises)</t>
  </si>
  <si>
    <t xml:space="preserve">0 à 200</t>
  </si>
  <si>
    <t xml:space="preserve">Points lumineux (pointsLumineux)</t>
  </si>
  <si>
    <t xml:space="preserve">Interrupteurs et va-et-vient (interrupteurs)</t>
  </si>
  <si>
    <t xml:space="preserve">Circuits spécialisés (circuitsSpecialises)</t>
  </si>
  <si>
    <t xml:space="preserve">Plaque de cuisson, four, lave-linge, lave-vaisselle, chauffe-eau…</t>
  </si>
  <si>
    <t xml:space="preserve">Conducteurs par gaine (conducteurs)</t>
  </si>
  <si>
    <t xml:space="preserve">2 à 5</t>
  </si>
  <si>
    <t xml:space="preserve">Phase, neutre et terre.</t>
  </si>
  <si>
    <t xml:space="preserve">Longueur d’une couronne de gaine (longueurCouronneGaine)</t>
  </si>
  <si>
    <t xml:space="preserve">Longueur d’une couronne de fil (longueurCouronneFil)</t>
  </si>
  <si>
    <t xml:space="preserve">carrelage avec découpes</t>
  </si>
  <si>
    <t xml:space="preserve">Largeur des joints (joint)</t>
  </si>
  <si>
    <t xml:space="preserve">Carreaux par carton (carreauxParCarton)</t>
  </si>
  <si>
    <t xml:space="preserve">Indiqué sur l’étiquette du carton.</t>
  </si>
  <si>
    <t xml:space="preserve">Carreaux cassés à la coupe ou défectueux. Comptez davantage si vous débutez.</t>
  </si>
  <si>
    <t xml:space="preserve">Consommation de colle (consommationColle)</t>
  </si>
  <si>
    <t xml:space="preserve">Indiquée sur le sac ; elle augmente avec la taille des carreaux.</t>
  </si>
  <si>
    <t xml:space="preserve">Croisillons par carreau (croisillonsParCarreau)</t>
  </si>
  <si>
    <t xml:space="preserve">Environ 1 en croix, jusqu’à 4 en T sur les côtés.</t>
  </si>
  <si>
    <t xml:space="preserve">Cales autonivelantes par carreau (calesParCarreau)</t>
  </si>
  <si>
    <t xml:space="preserve">Pièces par sachet d’accessoires (accessoiresParSachet)</t>
  </si>
  <si>
    <t xml:space="preserve">chape et de ragréage</t>
  </si>
  <si>
    <t xml:space="preserve">Consommation par millimètre (consommation)</t>
  </si>
  <si>
    <t xml:space="preserve">kg par m² et par mm</t>
  </si>
  <si>
    <t xml:space="preserve">0.5 à 3</t>
  </si>
  <si>
    <t xml:space="preserve">Inscrite sur le sac : environ 1,5 à 1,7 pour un ragréage, environ 2 pour un mortier de chape.</t>
  </si>
  <si>
    <t xml:space="preserve">Marge (marge)</t>
  </si>
  <si>
    <t xml:space="preserve">Les supports ne sont jamais parfaitement plans.</t>
  </si>
  <si>
    <t xml:space="preserve">Rendement du primaire (rendementPrimaire)</t>
  </si>
  <si>
    <t xml:space="preserve">m² par litre</t>
  </si>
  <si>
    <t xml:space="preserve">lino et de sol vinyle en rouleau</t>
  </si>
  <si>
    <t xml:space="preserve">Hauteur du raccord (raccord)</t>
  </si>
  <si>
    <t xml:space="preserve">Hauteur de répétition du motif, indiquée par le fabricant.</t>
  </si>
  <si>
    <t xml:space="preserve">Colle par m² (colleM2)</t>
  </si>
  <si>
    <t xml:space="preserve">Indiquée sur le seau selon le revêtement et la spatule.</t>
  </si>
  <si>
    <t xml:space="preserve">l’isolation d’un sol</t>
  </si>
  <si>
    <t xml:space="preserve">0.5 à 10</t>
  </si>
  <si>
    <t xml:space="preserve">Inscrite sur l’emballage des panneaux.</t>
  </si>
  <si>
    <t xml:space="preserve">moquette en rouleau</t>
  </si>
  <si>
    <t xml:space="preserve">parquet et de plinthes</t>
  </si>
  <si>
    <t xml:space="preserve">Laissez vide pour le taux calculé ou le forfait de la pose.</t>
  </si>
  <si>
    <t xml:space="preserve">Réserve pour la casse et les réparations (reserve)</t>
  </si>
  <si>
    <t xml:space="preserve">nombre de plinthes</t>
  </si>
  <si>
    <t xml:space="preserve">Mètres collés par cartouche de colle (metresParCartouche)</t>
  </si>
  <si>
    <t xml:space="preserve">Indiqué sur la cartouche ; 0 si les plinthes sont clouées ou vissées.</t>
  </si>
  <si>
    <t xml:space="preserve">un plancher chauffant</t>
  </si>
  <si>
    <t xml:space="preserve">Longueur maximale d’une boucle (longueurMaxBoucle)</t>
  </si>
  <si>
    <t xml:space="preserve">Selon le diamètre du tube et le fabricant, souvent entre 80 et 120 m.</t>
  </si>
  <si>
    <t xml:space="preserve">Largeur d’un carreau (largeurCarreau)</t>
  </si>
  <si>
    <t xml:space="preserve">Longueur d’un carreau (longueurCarreau)</t>
  </si>
  <si>
    <t xml:space="preserve">Poids d’un sac de colle (poidsSac)</t>
  </si>
  <si>
    <t xml:space="preserve">Épaisseur des carreaux (epaisseurCarreau)</t>
  </si>
  <si>
    <t xml:space="preserve">3 à 30</t>
  </si>
  <si>
    <t xml:space="preserve">Sert au calcul du joint.</t>
  </si>
  <si>
    <t xml:space="preserve">Poids d’un sac de joint (poidsSacJoint)</t>
  </si>
  <si>
    <t xml:space="preserve">Surface d’un rouleau de natte (surfaceNatte)</t>
  </si>
  <si>
    <t xml:space="preserve">Contenance d’un bidon de primaire (contenancePrimaire)</t>
  </si>
  <si>
    <t xml:space="preserve">L</t>
  </si>
  <si>
    <t xml:space="preserve">Longueur d’un rouleau de bande (longueurBande)</t>
  </si>
  <si>
    <t xml:space="preserve">Poids d’un seau de colle (poidsSeau)</t>
  </si>
  <si>
    <t xml:space="preserve">Longueur d’un rouleau d’adhésif double face (longueurAdhesif)</t>
  </si>
  <si>
    <t xml:space="preserve">Épaisseur d’un panneau (epaisseurPanneau)</t>
  </si>
  <si>
    <t xml:space="preserve">Surface d’un rouleau de film (surfaceFilm)</t>
  </si>
  <si>
    <t xml:space="preserve">3 à 60</t>
  </si>
  <si>
    <t xml:space="preserve">Indiquée sur le paquet.</t>
  </si>
  <si>
    <t xml:space="preserve">20 à 300</t>
  </si>
  <si>
    <t xml:space="preserve">Surface d’un paquet (surfacePaquet)</t>
  </si>
  <si>
    <t xml:space="preserve">Surface d’un rouleau de sous-couche (surfaceSousCouche)</t>
  </si>
  <si>
    <t xml:space="preserve">Longueur d’une plinthe (longueurPlinthe)</t>
  </si>
  <si>
    <t xml:space="preserve">Bois ou MDF : souvent 2,20 à 2,50 m. Plinthe de carrelage : souvent 30 à 60 cm.</t>
  </si>
  <si>
    <t xml:space="preserve">Type de pose (pose)</t>
  </si>
  <si>
    <t xml:space="preserve">Options : Pose droite | Pose décalée d’un demi-carreau | Pose décalée d’un tiers de carreau | Pose en diagonale</t>
  </si>
  <si>
    <t xml:space="preserve">Motif composé de plusieurs carreaux (motif)</t>
  </si>
  <si>
    <t xml:space="preserve">Options : Aucun (carreau uni ou décor indépendant) | Motif de 4 carreaux (2 × 2) | Motif de 9 carreaux (3 × 3) | Motif de 16 carreaux (4 × 4)
Carreaux de ciment ou décors dont le dessin se forme en assemblant plusieurs carreaux : on achète des motifs complets.</t>
  </si>
  <si>
    <t xml:space="preserve">Mode de pose (support)</t>
  </si>
  <si>
    <t xml:space="preserve">Options : Collé sur chape ou dalle | Dalles sur plots (terrasse extérieure)</t>
  </si>
  <si>
    <t xml:space="preserve">Accessoires de pose (accessoires)</t>
  </si>
  <si>
    <t xml:space="preserve">Options : Aucun | Croisillons | Cales autonivelantes (grands formats)</t>
  </si>
  <si>
    <t xml:space="preserve">Prévoir une natte de désolidarisation (natte)</t>
  </si>
  <si>
    <t xml:space="preserve">Sur un support fissuré, un plancher bois ou un plancher chauffant, selon la notice du fabricant.</t>
  </si>
  <si>
    <t xml:space="preserve">Produit (produit)</t>
  </si>
  <si>
    <t xml:space="preserve">Options : Ragréage autolissant en sacs | Mortier de chape en sacs | Chape fluide livrée (m³)</t>
  </si>
  <si>
    <t xml:space="preserve">Prévoir un primaire d’accrochage (primaire)</t>
  </si>
  <si>
    <t xml:space="preserve">Prévoir une bande périphérique (bande)</t>
  </si>
  <si>
    <t xml:space="preserve">Largeur du rouleau (largeurRouleau)</t>
  </si>
  <si>
    <t xml:space="preserve">Options : 4 m, largeur la plus courante | 3 m | 2 m</t>
  </si>
  <si>
    <t xml:space="preserve">Type de raccord (typeRaccord)</t>
  </si>
  <si>
    <t xml:space="preserve">Options : Libre (uni, sans motif) | Droit | Sauté (décalé)
Indiqué sur l’étiquette. Droit : le motif se prolonge à la même hauteur. Sauté : il est décalé d’un lé à l’autre.</t>
  </si>
  <si>
    <t xml:space="preserve">Fixation (fixation)</t>
  </si>
  <si>
    <t xml:space="preserve">Options : Pose libre ou tendue, sans colle | Collée en plein | Adhésif double face en périphérie et aux raccords</t>
  </si>
  <si>
    <t xml:space="preserve">Type d’isolant (isolant)</t>
  </si>
  <si>
    <t xml:space="preserve">Options : Polystyrène expansé (PSE) | Polyuréthane (PUR ou PIR) | Polystyrène extrudé (XPS)
Reportez ensuite le λ et l’épaisseur du produit choisi ; vérifiez sa classe de compressibilité sous chape.</t>
  </si>
  <si>
    <t xml:space="preserve">Prévoir un film polyéthylène sous l’isolant (film)</t>
  </si>
  <si>
    <t xml:space="preserve">Options : 4 m, largeur la plus courante | 5 m | 3 m | 2 m</t>
  </si>
  <si>
    <t xml:space="preserve">Revêtement (revetement)</t>
  </si>
  <si>
    <t xml:space="preserve">Options : Parquet ou stratifié | Lames vinyle clipsables | Dalles vinyle ou dalles de moquette
Même calcul au m² ; le revêtement est repris dans le récapitulatif.</t>
  </si>
  <si>
    <t xml:space="preserve">Type de pose (typePose)</t>
  </si>
  <si>
    <t xml:space="preserve">Options : Droite, à coupe perdue | Droite, joints réguliers (demi-lame) | En diagonale | Bâtons rompus | Point de Hongrie
Pose droite : les lames sont calepinées sur la pièce dessinée. Poses en motif : taux forfaitaire, modifiable dans les réglages avancés.</t>
  </si>
  <si>
    <t xml:space="preserve">Prévoir une sous-couche (sousCouche)</t>
  </si>
  <si>
    <t xml:space="preserve">Type de plancher chauffant (energie)</t>
  </si>
  <si>
    <t xml:space="preserve">Options : À eau (tube relié à un collecteur) | Électrique (trame ou câble chauffant)</t>
  </si>
  <si>
    <t xml:space="preserve">Pas de pose (pas)</t>
  </si>
  <si>
    <t xml:space="preserve">Options : 10 cm, salle de bain ou forte déperdition | 15 cm, cas courant | 20 cm, faible besoin de chauffage</t>
  </si>
  <si>
    <t xml:space="preserve">Puissance de la trame électrique (puissanceM2)</t>
  </si>
  <si>
    <t xml:space="preserve">Options : 100 W/m² | 130 W/m² | 160 W/m²
Selon le fabricant et l’usage : chauffage principal ou simple confort.</t>
  </si>
  <si>
    <t xml:space="preserve">carrelage mural et de faïence</t>
  </si>
  <si>
    <t xml:space="preserve">la quantité de peinture</t>
  </si>
  <si>
    <t xml:space="preserve">Nombre de couches (couches)</t>
  </si>
  <si>
    <t xml:space="preserve">1 à 5</t>
  </si>
  <si>
    <t xml:space="preserve">Rendement de la peinture (rendement)</t>
  </si>
  <si>
    <t xml:space="preserve">Indiqué sur le pot, pour une couche.</t>
  </si>
  <si>
    <t xml:space="preserve">Rendement de la sous-couche (rendementSousCouche)</t>
  </si>
  <si>
    <t xml:space="preserve">parement mural</t>
  </si>
  <si>
    <t xml:space="preserve">Chute de coupe (marge)</t>
  </si>
  <si>
    <t xml:space="preserve">Consommation de mortier-colle (consommationColle)</t>
  </si>
  <si>
    <t xml:space="preserve">Indiquée sur le sac ; elle dépend du poids des plaquettes.</t>
  </si>
  <si>
    <t xml:space="preserve">tenture murale au mètre</t>
  </si>
  <si>
    <t xml:space="preserve">Utile en pose verticale ; en pose horizontale, la marge couvre les raccords aux angles.</t>
  </si>
  <si>
    <t xml:space="preserve">Pour les retours d’angle et l’ajustement.</t>
  </si>
  <si>
    <t xml:space="preserve">nombre de rouleaux de papier peint</t>
  </si>
  <si>
    <t xml:space="preserve">0 à 120</t>
  </si>
  <si>
    <t xml:space="preserve">Hauteur de répétition du motif, inscrite sur l’étiquette à côté du pictogramme (par exemple 53 ou 64 cm).</t>
  </si>
  <si>
    <t xml:space="preserve">Rouleaux posés avec un paquet de colle (rouleauxParColle)</t>
  </si>
  <si>
    <t xml:space="preserve">Indiqué sur le paquet de colle.</t>
  </si>
  <si>
    <t xml:space="preserve">Hauteur d’un carreau (hauteurCarreau)</t>
  </si>
  <si>
    <t xml:space="preserve">Surface couverte par un kit de protection (surfaceKitSpec)</t>
  </si>
  <si>
    <t xml:space="preserve">Indiquée sur le kit.</t>
  </si>
  <si>
    <t xml:space="preserve">Longueur d’un profilé (longueurProfile)</t>
  </si>
  <si>
    <t xml:space="preserve">Contenance d’un pot (contenance)</t>
  </si>
  <si>
    <t xml:space="preserve">Surface couverte par un carton de plaquettes (surfaceCarton)</t>
  </si>
  <si>
    <t xml:space="preserve">Longueur couverte par un carton d’angles (longueurCartonAngles)</t>
  </si>
  <si>
    <t xml:space="preserve">Poids d’un sac de mortier-colle (poidsSac)</t>
  </si>
  <si>
    <t xml:space="preserve">Longueur du rouleau (longueurRouleau)</t>
  </si>
  <si>
    <t xml:space="preserve">Classe de colle (colle)</t>
  </si>
  <si>
    <t xml:space="preserve">Options : C1 : colle ordinaire | C2 : colle améliorée | C2 S1 : colle améliorée et déformable
Classes de la norme NF EN 12004 ; suivez la fiche de la colle pour le support et le format.</t>
  </si>
  <si>
    <t xml:space="preserve">Finition de la peinture des murs (finition)</t>
  </si>
  <si>
    <t xml:space="preserve">Options : Mate : masque les défauts du mur | Velours : pièces de vie, se nettoie mieux | Satinée : pièces humides, cuisine, boiseries | Brillante : boiseries, effet décoratif
Même calcul pour toutes les finitions ; la finition est reprise dans le récapitulatif.</t>
  </si>
  <si>
    <t xml:space="preserve">Prévoir une sous-couche d’impression (sousCouche)</t>
  </si>
  <si>
    <t xml:space="preserve">Sur plâtre neuf, support poreux, taché ou changement de couleur marqué.</t>
  </si>
  <si>
    <t xml:space="preserve">Largeur du tissu (laize) (laize)</t>
  </si>
  <si>
    <t xml:space="preserve">Options : 2,80 m, grande largeur posée à l’horizontale | 1,40 m, posée en lés verticaux | 1,30 m, posée en lés verticaux</t>
  </si>
  <si>
    <t xml:space="preserve">Options : 0,53 m, format standard | 0,70 m | 1,06 m, grand format intissé</t>
  </si>
  <si>
    <t xml:space="preserve">Options : Libre (uni, sans motif) | Droit | Sauté (décalé)
Indiqué par un pictogramme sur l’étiquette. Droit : le motif se prolonge à la même hauteur. Sauté : il est décalé d’un lé à l’autre.</t>
  </si>
  <si>
    <t xml:space="preserve">peinture de façade</t>
  </si>
  <si>
    <t xml:space="preserve">1 à 4</t>
  </si>
  <si>
    <t xml:space="preserve">Indiqué sur le pot pour une couche ; plus faible sur un crépi ou un enduit rugueux (souvent 4 à 8).</t>
  </si>
  <si>
    <t xml:space="preserve">Rendement du fixateur (rendementFixateur)</t>
  </si>
  <si>
    <t xml:space="preserve">enduit de façade et de crépi</t>
  </si>
  <si>
    <t xml:space="preserve">Indiquée sur la fiche technique du produit.</t>
  </si>
  <si>
    <t xml:space="preserve">Marge pour les pertes (marge)</t>
  </si>
  <si>
    <t xml:space="preserve">une isolation thermique par l’extérieur (ITE)</t>
  </si>
  <si>
    <t xml:space="preserve">Conductivité de l’isolant (λ) (lambda)</t>
  </si>
  <si>
    <t xml:space="preserve">0.015 à 0.06</t>
  </si>
  <si>
    <t xml:space="preserve">Polystyrène graphité : environ 0,031. Polystyrène blanc : environ 0,038. Laine de roche : environ 0,036.</t>
  </si>
  <si>
    <t xml:space="preserve">Colle (colleM2)</t>
  </si>
  <si>
    <t xml:space="preserve">Chevilles par m² (chevillesM2)</t>
  </si>
  <si>
    <t xml:space="preserve">Selon le support, la hauteur et l’exposition au vent : voir le cahier technique du système.</t>
  </si>
  <si>
    <t xml:space="preserve">Enduit de base armé (enduitBaseM2)</t>
  </si>
  <si>
    <t xml:space="preserve">Enduit de finition (finitionM2)</t>
  </si>
  <si>
    <t xml:space="preserve">Surface d’un rouleau de treillis (surfaceTreillis)</t>
  </si>
  <si>
    <t xml:space="preserve">Poids d’un sac ou d’un seau (poidsSac)</t>
  </si>
  <si>
    <t xml:space="preserve">Type de peinture (typePeinture)</t>
  </si>
  <si>
    <t xml:space="preserve">Options : Acrylique, en phase aqueuse | Pliolite, en phase solvant | Siloxane | Minérale : silicate ou chaux
Même calcul pour tous les types ; le rendement dépend du produit, voyez le pot.</t>
  </si>
  <si>
    <t xml:space="preserve">Prévoir un fixateur ou une impression (fixateur)</t>
  </si>
  <si>
    <t xml:space="preserve">Sur un support farineux, poreux ou neuf.</t>
  </si>
  <si>
    <t xml:space="preserve">Type d’enduit (typeEnduit)</t>
  </si>
  <si>
    <t xml:space="preserve">Options : Monocouche, à base de ciment | Enduit à la chaux, en plusieurs couches | Crépi ou enduit de finition
Adaptez ensuite l’épaisseur et la consommation à la fiche du produit choisi.</t>
  </si>
  <si>
    <t xml:space="preserve">Prévoir un treillis d’armature (treillis)</t>
  </si>
  <si>
    <t xml:space="preserve">Renforce l’enduit sur un support hétérogène ou fissuré et aux angles des ouvertures.</t>
  </si>
  <si>
    <t xml:space="preserve">Isolant (isolant)</t>
  </si>
  <si>
    <t xml:space="preserve">Options : Autre : λ saisi ci-dessous | Polystyrène graphité (λ ≈ 0,031) | Polystyrène blanc (λ ≈ 0,038) | Laine de roche (λ ≈ 0,036)
Valeurs de λ indicatives ; celle du produit choisi figure sur sa fiche technique.</t>
  </si>
  <si>
    <t xml:space="preserve">nombre de chevrons</t>
  </si>
  <si>
    <t xml:space="preserve">Longueur maximale des chevrons vendus (longueurVendue)</t>
  </si>
  <si>
    <t xml:space="preserve">Au-delà, un chevron est fait de deux pièces raboutées sur une panne.</t>
  </si>
  <si>
    <t xml:space="preserve">Entraxe des chevrons (entraxe)</t>
  </si>
  <si>
    <t xml:space="preserve">Options : 60 cm | 50 cm | 40 cm</t>
  </si>
  <si>
    <t xml:space="preserve">Prévoir des contre-liteaux (écran de sous-toiture) (contreLiteaux)</t>
  </si>
  <si>
    <t xml:space="preserve">membrane EPDM pour un toit plat</t>
  </si>
  <si>
    <t xml:space="preserve">litres par m²</t>
  </si>
  <si>
    <t xml:space="preserve">Indiquée sur le pot, selon le support.</t>
  </si>
  <si>
    <t xml:space="preserve">plaques de couverture et de shingle</t>
  </si>
  <si>
    <t xml:space="preserve">Recouvrement entre rangées (recouvrement)</t>
  </si>
  <si>
    <t xml:space="preserve">Fixations par plaque (fixationsParPlaque)</t>
  </si>
  <si>
    <t xml:space="preserve">gouttières et des descentes</t>
  </si>
  <si>
    <t xml:space="preserve">Longueur de gouttière par descente (longueurMaxDescente)</t>
  </si>
  <si>
    <t xml:space="preserve">2 à —</t>
  </si>
  <si>
    <t xml:space="preserve">Au-delà, une descente supplémentaire ; à adapter selon le DTU et le fabricant.</t>
  </si>
  <si>
    <t xml:space="preserve">nombre de tuiles</t>
  </si>
  <si>
    <t xml:space="preserve">Tuiles au m² (tuilesM2)</t>
  </si>
  <si>
    <t xml:space="preserve">Indiqué par le fabricant : environ 10 à 15 pour une tuile mécanique, bien plus pour une petite tuile plate.</t>
  </si>
  <si>
    <t xml:space="preserve">Faîtières par mètre (faitieresParMetre)</t>
  </si>
  <si>
    <t xml:space="preserve">Tuiles de rive par mètre (rivesParMetre)</t>
  </si>
  <si>
    <t xml:space="preserve">Chatières de ventilation pour 10 m² (chatieresPour10m2)</t>
  </si>
  <si>
    <t xml:space="preserve">La ventilation à prévoir dépend de la toiture et de l’écran : suivez la notice du fabricant ; 0 si aucune.</t>
  </si>
  <si>
    <t xml:space="preserve">nombre d’ardoises</t>
  </si>
  <si>
    <t xml:space="preserve">Recouvrement (recouvrement)</t>
  </si>
  <si>
    <t xml:space="preserve">5 à 20</t>
  </si>
  <si>
    <t xml:space="preserve">Selon la pente et la zone : voir le DTU 40.11 ou le fabricant.</t>
  </si>
  <si>
    <t xml:space="preserve">Hauteur des relevés (releve)</t>
  </si>
  <si>
    <t xml:space="preserve">0 à 60</t>
  </si>
  <si>
    <t xml:space="preserve">Hauteur dont la membrane remonte sur les rives ou les acrotères.</t>
  </si>
  <si>
    <t xml:space="preserve">Contenance d’un pot de colle (contenancePot)</t>
  </si>
  <si>
    <t xml:space="preserve">Longueur d’un profilé de rive (longueurProfile)</t>
  </si>
  <si>
    <t xml:space="preserve">Largeur utile d’une plaque (largeurUtile)</t>
  </si>
  <si>
    <t xml:space="preserve">Largeur couverte une fois les plaques recouvertes sur le côté.</t>
  </si>
  <si>
    <t xml:space="preserve">Longueur d’une plaque (longueurPlaque)</t>
  </si>
  <si>
    <t xml:space="preserve">Longueur utile d’une faîtière (longueurFaitiere)</t>
  </si>
  <si>
    <t xml:space="preserve">Surface couverte par un paquet de shingle (surfacePaquet)</t>
  </si>
  <si>
    <t xml:space="preserve">Surface d’un rouleau de sous-couche (shingle) (surfaceSousCouche)</t>
  </si>
  <si>
    <t xml:space="preserve">Longueur d’une gouttière (longueurElement)</t>
  </si>
  <si>
    <t xml:space="preserve">Longueur d’un tuyau de descente (longueurTuyau)</t>
  </si>
  <si>
    <t xml:space="preserve">Pureau, soit l’écartement des liteaux (pureau)</t>
  </si>
  <si>
    <t xml:space="preserve">Indiqué par le fabricant pour le modèle de tuile et la pente.</t>
  </si>
  <si>
    <t xml:space="preserve">Longueur d’un liteau (longueurLiteau)</t>
  </si>
  <si>
    <t xml:space="preserve">Surface d’un rouleau d’écran de sous-toiture (surfaceEcran)</t>
  </si>
  <si>
    <t xml:space="preserve">Longueur d’un élément de noue ou de solin (longueurElementZinc)</t>
  </si>
  <si>
    <t xml:space="preserve">Surface couverte par une botte de voliges (surfaceBotteVoliges)</t>
  </si>
  <si>
    <t xml:space="preserve">Couverture (type)</t>
  </si>
  <si>
    <t xml:space="preserve">Options : Plaques ondulées ou bac acier | Bardeaux bitumés (shingle)</t>
  </si>
  <si>
    <t xml:space="preserve">Format des ardoises (format)</t>
  </si>
  <si>
    <t xml:space="preserve">Options : 32 × 22 cm | 40 × 24 cm | 50 × 25 cm | 60 × 30 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</si>
</sst>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181A"/>
        <bgColor rgb="FF000000"/>
      </patternFill>
    </fill>
    <fill>
      <patternFill patternType="solid">
        <fgColor rgb="FFFFF2CC"/>
        <bgColor rgb="FFFDE9D9"/>
      </patternFill>
    </fill>
    <fill>
      <patternFill patternType="solid">
        <fgColor rgb="FFFDE9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6C0"/>
      </left>
      <right style="thin">
        <color rgb="FFC9C6C0"/>
      </right>
      <top style="thin">
        <color rgb="FFC9C6C0"/>
      </top>
      <bottom style="thin">
        <color rgb="FFC9C6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181A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6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8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4" t="s">
        <v>15</v>
      </c>
      <c r="B20" s="4" t="s">
        <v>16</v>
      </c>
      <c r="C20" s="4" t="s">
        <v>17</v>
      </c>
      <c r="D20" s="4" t="s">
        <v>18</v>
      </c>
      <c r="E20" s="4" t="s">
        <v>19</v>
      </c>
      <c r="F20" s="4" t="s">
        <v>20</v>
      </c>
      <c r="G20" s="4" t="s">
        <v>21</v>
      </c>
      <c r="H20" s="4" t="s">
        <v>22</v>
      </c>
      <c r="I20" s="4" t="s">
        <v>23</v>
      </c>
      <c r="J20" s="4" t="s">
        <v>24</v>
      </c>
    </row>
    <row r="21" customFormat="false" ht="15" hidden="false" customHeight="false" outlineLevel="0" collapsed="false">
      <c r="A21" s="5" t="s">
        <v>25</v>
      </c>
      <c r="B21" s="5" t="s">
        <v>26</v>
      </c>
      <c r="C21" s="5" t="s">
        <v>27</v>
      </c>
      <c r="D21" s="5" t="n">
        <v>5</v>
      </c>
      <c r="E21" s="5" t="s">
        <v>28</v>
      </c>
      <c r="F21" s="5" t="s">
        <v>29</v>
      </c>
      <c r="G21" s="5" t="s">
        <v>30</v>
      </c>
      <c r="H21" s="5" t="s">
        <v>31</v>
      </c>
      <c r="I21" s="5" t="n">
        <v>10</v>
      </c>
      <c r="J21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23.85" hidden="false" customHeight="false" outlineLevel="0" collapsed="false">
      <c r="A5" s="8" t="s">
        <v>36</v>
      </c>
      <c r="B5" s="8" t="s">
        <v>37</v>
      </c>
      <c r="C5" s="8" t="s">
        <v>27</v>
      </c>
      <c r="D5" s="8" t="n">
        <v>10</v>
      </c>
      <c r="E5" s="8" t="s">
        <v>38</v>
      </c>
      <c r="F5" s="8" t="s">
        <v>39</v>
      </c>
      <c r="G5" s="8"/>
      <c r="H5" s="9"/>
      <c r="I5" s="9"/>
      <c r="J5" s="9"/>
    </row>
    <row r="6" customFormat="false" ht="23.85" hidden="false" customHeight="false" outlineLevel="0" collapsed="false">
      <c r="A6" s="8" t="s">
        <v>36</v>
      </c>
      <c r="B6" s="8" t="s">
        <v>40</v>
      </c>
      <c r="C6" s="8" t="s">
        <v>27</v>
      </c>
      <c r="D6" s="8" t="n">
        <v>5</v>
      </c>
      <c r="E6" s="8" t="s">
        <v>28</v>
      </c>
      <c r="F6" s="8" t="s">
        <v>39</v>
      </c>
      <c r="G6" s="8"/>
      <c r="H6" s="9"/>
      <c r="I6" s="9"/>
      <c r="J6" s="9"/>
    </row>
    <row r="7" customFormat="false" ht="35.05" hidden="false" customHeight="false" outlineLevel="0" collapsed="false">
      <c r="A7" s="8" t="s">
        <v>36</v>
      </c>
      <c r="B7" s="8" t="s">
        <v>41</v>
      </c>
      <c r="C7" s="8" t="s">
        <v>27</v>
      </c>
      <c r="D7" s="8" t="n">
        <v>20</v>
      </c>
      <c r="E7" s="8" t="s">
        <v>42</v>
      </c>
      <c r="F7" s="8" t="s">
        <v>43</v>
      </c>
      <c r="G7" s="8" t="s">
        <v>44</v>
      </c>
      <c r="H7" s="9"/>
      <c r="I7" s="9"/>
      <c r="J7" s="9"/>
    </row>
    <row r="8" customFormat="false" ht="23.85" hidden="false" customHeight="false" outlineLevel="0" collapsed="false">
      <c r="A8" s="8" t="s">
        <v>36</v>
      </c>
      <c r="B8" s="8" t="s">
        <v>45</v>
      </c>
      <c r="C8" s="8" t="s">
        <v>27</v>
      </c>
      <c r="D8" s="8" t="n">
        <v>300</v>
      </c>
      <c r="E8" s="8" t="s">
        <v>46</v>
      </c>
      <c r="F8" s="8" t="s">
        <v>47</v>
      </c>
      <c r="G8" s="8" t="s">
        <v>48</v>
      </c>
      <c r="H8" s="9"/>
      <c r="I8" s="9"/>
      <c r="J8" s="9"/>
    </row>
    <row r="9" customFormat="false" ht="23.85" hidden="false" customHeight="false" outlineLevel="0" collapsed="false">
      <c r="A9" s="8" t="s">
        <v>36</v>
      </c>
      <c r="B9" s="8" t="s">
        <v>49</v>
      </c>
      <c r="C9" s="8" t="s">
        <v>27</v>
      </c>
      <c r="D9" s="8" t="n">
        <v>20</v>
      </c>
      <c r="E9" s="8" t="s">
        <v>50</v>
      </c>
      <c r="F9" s="8" t="s">
        <v>43</v>
      </c>
      <c r="G9" s="8" t="s">
        <v>51</v>
      </c>
      <c r="H9" s="9"/>
      <c r="I9" s="9"/>
      <c r="J9" s="9"/>
    </row>
    <row r="10" customFormat="false" ht="23.85" hidden="false" customHeight="false" outlineLevel="0" collapsed="false">
      <c r="A10" s="8" t="s">
        <v>52</v>
      </c>
      <c r="B10" s="8" t="s">
        <v>53</v>
      </c>
      <c r="C10" s="8" t="s">
        <v>27</v>
      </c>
      <c r="D10" s="8"/>
      <c r="E10" s="8"/>
      <c r="F10" s="8" t="s">
        <v>54</v>
      </c>
      <c r="G10" s="8" t="s">
        <v>55</v>
      </c>
      <c r="H10" s="9"/>
      <c r="I10" s="9"/>
      <c r="J10" s="9"/>
    </row>
    <row r="11" customFormat="false" ht="23.85" hidden="false" customHeight="false" outlineLevel="0" collapsed="false">
      <c r="A11" s="8" t="s">
        <v>56</v>
      </c>
      <c r="B11" s="8" t="s">
        <v>57</v>
      </c>
      <c r="C11" s="8" t="s">
        <v>27</v>
      </c>
      <c r="D11" s="8" t="n">
        <v>20</v>
      </c>
      <c r="E11" s="8" t="s">
        <v>58</v>
      </c>
      <c r="F11" s="8" t="s">
        <v>59</v>
      </c>
      <c r="G11" s="8" t="s">
        <v>60</v>
      </c>
      <c r="H11" s="9"/>
      <c r="I11" s="9"/>
      <c r="J11" s="9"/>
    </row>
    <row r="12" customFormat="false" ht="23.85" hidden="false" customHeight="false" outlineLevel="0" collapsed="false">
      <c r="A12" s="8" t="s">
        <v>56</v>
      </c>
      <c r="B12" s="8" t="s">
        <v>61</v>
      </c>
      <c r="C12" s="8" t="s">
        <v>27</v>
      </c>
      <c r="D12" s="8" t="n">
        <v>4</v>
      </c>
      <c r="E12" s="8"/>
      <c r="F12" s="8" t="s">
        <v>43</v>
      </c>
      <c r="G12" s="8" t="s">
        <v>62</v>
      </c>
      <c r="H12" s="9"/>
      <c r="I12" s="9"/>
      <c r="J12" s="9"/>
    </row>
    <row r="13" customFormat="false" ht="23.85" hidden="false" customHeight="false" outlineLevel="0" collapsed="false">
      <c r="A13" s="8" t="s">
        <v>63</v>
      </c>
      <c r="B13" s="8" t="s">
        <v>64</v>
      </c>
      <c r="C13" s="8" t="s">
        <v>27</v>
      </c>
      <c r="D13" s="8" t="n">
        <v>20</v>
      </c>
      <c r="E13" s="8" t="s">
        <v>58</v>
      </c>
      <c r="F13" s="8" t="s">
        <v>65</v>
      </c>
      <c r="G13" s="8" t="s">
        <v>66</v>
      </c>
      <c r="H13" s="9"/>
      <c r="I13" s="9"/>
      <c r="J13" s="9"/>
    </row>
    <row r="14" customFormat="false" ht="23.85" hidden="false" customHeight="false" outlineLevel="0" collapsed="false">
      <c r="A14" s="8" t="s">
        <v>63</v>
      </c>
      <c r="B14" s="8" t="s">
        <v>67</v>
      </c>
      <c r="C14" s="8" t="s">
        <v>27</v>
      </c>
      <c r="D14" s="8" t="n">
        <v>0.2</v>
      </c>
      <c r="E14" s="8" t="s">
        <v>68</v>
      </c>
      <c r="F14" s="8" t="s">
        <v>69</v>
      </c>
      <c r="G14" s="8" t="s">
        <v>70</v>
      </c>
      <c r="H14" s="9"/>
      <c r="I14" s="9"/>
      <c r="J14" s="9"/>
    </row>
    <row r="15" customFormat="false" ht="15" hidden="false" customHeight="false" outlineLevel="0" collapsed="false">
      <c r="A15" s="8" t="s">
        <v>71</v>
      </c>
      <c r="B15" s="8" t="s">
        <v>72</v>
      </c>
      <c r="C15" s="8" t="s">
        <v>27</v>
      </c>
      <c r="D15" s="8" t="n">
        <v>5</v>
      </c>
      <c r="E15" s="8" t="s">
        <v>28</v>
      </c>
      <c r="F15" s="8" t="s">
        <v>39</v>
      </c>
      <c r="G15" s="8"/>
      <c r="H15" s="9"/>
      <c r="I15" s="9"/>
      <c r="J15" s="9"/>
    </row>
    <row r="16" customFormat="false" ht="23.85" hidden="false" customHeight="false" outlineLevel="0" collapsed="false">
      <c r="A16" s="8" t="s">
        <v>71</v>
      </c>
      <c r="B16" s="8" t="s">
        <v>73</v>
      </c>
      <c r="C16" s="8" t="s">
        <v>27</v>
      </c>
      <c r="D16" s="8" t="n">
        <v>12</v>
      </c>
      <c r="E16" s="8" t="s">
        <v>74</v>
      </c>
      <c r="F16" s="8" t="s">
        <v>75</v>
      </c>
      <c r="G16" s="8" t="s">
        <v>76</v>
      </c>
      <c r="H16" s="9"/>
      <c r="I16" s="9"/>
      <c r="J16" s="9"/>
    </row>
    <row r="17" customFormat="false" ht="23.85" hidden="false" customHeight="false" outlineLevel="0" collapsed="false">
      <c r="A17" s="8" t="s">
        <v>77</v>
      </c>
      <c r="B17" s="8" t="s">
        <v>78</v>
      </c>
      <c r="C17" s="8" t="s">
        <v>27</v>
      </c>
      <c r="D17" s="8" t="n">
        <v>30</v>
      </c>
      <c r="E17" s="8" t="s">
        <v>58</v>
      </c>
      <c r="F17" s="8" t="s">
        <v>79</v>
      </c>
      <c r="G17" s="8"/>
      <c r="H17" s="9"/>
      <c r="I17" s="9"/>
      <c r="J17" s="9"/>
    </row>
    <row r="18" customFormat="false" ht="23.85" hidden="false" customHeight="false" outlineLevel="0" collapsed="false">
      <c r="A18" s="8" t="s">
        <v>80</v>
      </c>
      <c r="B18" s="8" t="s">
        <v>81</v>
      </c>
      <c r="C18" s="8" t="s">
        <v>27</v>
      </c>
      <c r="D18" s="8" t="n">
        <v>63</v>
      </c>
      <c r="E18" s="8" t="s">
        <v>58</v>
      </c>
      <c r="F18" s="8" t="s">
        <v>82</v>
      </c>
      <c r="G18" s="8" t="s">
        <v>83</v>
      </c>
      <c r="H18" s="9"/>
      <c r="I18" s="9"/>
      <c r="J18" s="9"/>
    </row>
    <row r="19" customFormat="false" ht="23.85" hidden="false" customHeight="false" outlineLevel="0" collapsed="false">
      <c r="A19" s="10" t="s">
        <v>36</v>
      </c>
      <c r="B19" s="10" t="s">
        <v>84</v>
      </c>
      <c r="C19" s="10" t="s">
        <v>85</v>
      </c>
      <c r="D19" s="10" t="n">
        <v>20</v>
      </c>
      <c r="E19" s="10" t="s">
        <v>58</v>
      </c>
      <c r="F19" s="10" t="s">
        <v>75</v>
      </c>
      <c r="G19" s="10"/>
      <c r="H19" s="9"/>
      <c r="I19" s="9"/>
      <c r="J19" s="9"/>
    </row>
    <row r="20" customFormat="false" ht="23.85" hidden="false" customHeight="false" outlineLevel="0" collapsed="false">
      <c r="A20" s="10" t="s">
        <v>36</v>
      </c>
      <c r="B20" s="10" t="s">
        <v>86</v>
      </c>
      <c r="C20" s="10" t="s">
        <v>85</v>
      </c>
      <c r="D20" s="10" t="n">
        <v>50</v>
      </c>
      <c r="E20" s="10" t="s">
        <v>58</v>
      </c>
      <c r="F20" s="10" t="s">
        <v>75</v>
      </c>
      <c r="G20" s="10"/>
      <c r="H20" s="9"/>
      <c r="I20" s="9"/>
      <c r="J20" s="9"/>
    </row>
    <row r="21" customFormat="false" ht="23.85" hidden="false" customHeight="false" outlineLevel="0" collapsed="false">
      <c r="A21" s="10" t="s">
        <v>36</v>
      </c>
      <c r="B21" s="10" t="s">
        <v>87</v>
      </c>
      <c r="C21" s="10" t="s">
        <v>85</v>
      </c>
      <c r="D21" s="10" t="n">
        <v>25</v>
      </c>
      <c r="E21" s="10" t="s">
        <v>50</v>
      </c>
      <c r="F21" s="10" t="s">
        <v>75</v>
      </c>
      <c r="G21" s="10"/>
      <c r="H21" s="9"/>
      <c r="I21" s="9"/>
      <c r="J21" s="9"/>
    </row>
    <row r="22" customFormat="false" ht="23.85" hidden="false" customHeight="false" outlineLevel="0" collapsed="false">
      <c r="A22" s="10" t="s">
        <v>52</v>
      </c>
      <c r="B22" s="10" t="s">
        <v>88</v>
      </c>
      <c r="C22" s="10" t="s">
        <v>85</v>
      </c>
      <c r="D22" s="10" t="n">
        <v>0.4</v>
      </c>
      <c r="E22" s="10" t="s">
        <v>68</v>
      </c>
      <c r="F22" s="10" t="s">
        <v>89</v>
      </c>
      <c r="G22" s="10"/>
      <c r="H22" s="9"/>
      <c r="I22" s="9"/>
      <c r="J22" s="9"/>
    </row>
    <row r="23" customFormat="false" ht="23.85" hidden="false" customHeight="false" outlineLevel="0" collapsed="false">
      <c r="A23" s="10" t="s">
        <v>52</v>
      </c>
      <c r="B23" s="10" t="s">
        <v>90</v>
      </c>
      <c r="C23" s="10" t="s">
        <v>85</v>
      </c>
      <c r="D23" s="10" t="n">
        <v>10</v>
      </c>
      <c r="E23" s="10" t="s">
        <v>91</v>
      </c>
      <c r="F23" s="10" t="s">
        <v>92</v>
      </c>
      <c r="G23" s="10" t="s">
        <v>93</v>
      </c>
      <c r="H23" s="9"/>
      <c r="I23" s="9"/>
      <c r="J23" s="9"/>
    </row>
    <row r="24" customFormat="false" ht="23.85" hidden="false" customHeight="false" outlineLevel="0" collapsed="false">
      <c r="A24" s="10" t="s">
        <v>56</v>
      </c>
      <c r="B24" s="10" t="s">
        <v>94</v>
      </c>
      <c r="C24" s="10" t="s">
        <v>85</v>
      </c>
      <c r="D24" s="10" t="n">
        <v>6</v>
      </c>
      <c r="E24" s="10" t="s">
        <v>68</v>
      </c>
      <c r="F24" s="10" t="s">
        <v>95</v>
      </c>
      <c r="G24" s="10" t="s">
        <v>96</v>
      </c>
      <c r="H24" s="9"/>
      <c r="I24" s="9"/>
      <c r="J24" s="9"/>
    </row>
    <row r="25" customFormat="false" ht="15" hidden="false" customHeight="false" outlineLevel="0" collapsed="false">
      <c r="A25" s="10" t="s">
        <v>56</v>
      </c>
      <c r="B25" s="10" t="s">
        <v>97</v>
      </c>
      <c r="C25" s="10" t="s">
        <v>85</v>
      </c>
      <c r="D25" s="10" t="n">
        <v>2.4</v>
      </c>
      <c r="E25" s="10" t="s">
        <v>68</v>
      </c>
      <c r="F25" s="10" t="s">
        <v>98</v>
      </c>
      <c r="G25" s="10"/>
      <c r="H25" s="9"/>
      <c r="I25" s="9"/>
      <c r="J25" s="9"/>
    </row>
    <row r="26" customFormat="false" ht="23.85" hidden="false" customHeight="false" outlineLevel="0" collapsed="false">
      <c r="A26" s="10" t="s">
        <v>71</v>
      </c>
      <c r="B26" s="10" t="s">
        <v>99</v>
      </c>
      <c r="C26" s="10" t="s">
        <v>85</v>
      </c>
      <c r="D26" s="10" t="n">
        <v>35</v>
      </c>
      <c r="E26" s="10" t="s">
        <v>50</v>
      </c>
      <c r="F26" s="10" t="s">
        <v>75</v>
      </c>
      <c r="G26" s="10"/>
      <c r="H26" s="9"/>
      <c r="I26" s="9"/>
      <c r="J26" s="9"/>
    </row>
    <row r="27" customFormat="false" ht="23.85" hidden="false" customHeight="false" outlineLevel="0" collapsed="false">
      <c r="A27" s="10" t="s">
        <v>77</v>
      </c>
      <c r="B27" s="10" t="s">
        <v>100</v>
      </c>
      <c r="C27" s="10" t="s">
        <v>85</v>
      </c>
      <c r="D27" s="10" t="n">
        <v>50</v>
      </c>
      <c r="E27" s="10" t="s">
        <v>68</v>
      </c>
      <c r="F27" s="10" t="s">
        <v>65</v>
      </c>
      <c r="G27" s="10"/>
      <c r="H27" s="9"/>
      <c r="I27" s="9"/>
      <c r="J27" s="9"/>
    </row>
    <row r="28" customFormat="false" ht="23.85" hidden="false" customHeight="false" outlineLevel="0" collapsed="false">
      <c r="A28" s="10" t="s">
        <v>77</v>
      </c>
      <c r="B28" s="10" t="s">
        <v>101</v>
      </c>
      <c r="C28" s="10" t="s">
        <v>85</v>
      </c>
      <c r="D28" s="10" t="n">
        <v>40</v>
      </c>
      <c r="E28" s="10" t="s">
        <v>102</v>
      </c>
      <c r="F28" s="10" t="s">
        <v>75</v>
      </c>
      <c r="G28" s="10"/>
      <c r="H28" s="9"/>
      <c r="I28" s="9"/>
      <c r="J28" s="9"/>
    </row>
    <row r="29" customFormat="false" ht="23.85" hidden="false" customHeight="false" outlineLevel="0" collapsed="false">
      <c r="A29" s="10" t="s">
        <v>77</v>
      </c>
      <c r="B29" s="10" t="s">
        <v>103</v>
      </c>
      <c r="C29" s="10" t="s">
        <v>85</v>
      </c>
      <c r="D29" s="10" t="n">
        <v>50</v>
      </c>
      <c r="E29" s="10" t="s">
        <v>102</v>
      </c>
      <c r="F29" s="10" t="s">
        <v>75</v>
      </c>
      <c r="G29" s="10"/>
      <c r="H29" s="9"/>
      <c r="I29" s="9"/>
      <c r="J29" s="9"/>
    </row>
    <row r="30" customFormat="false" ht="46.25" hidden="false" customHeight="false" outlineLevel="0" collapsed="false">
      <c r="A30" s="10" t="s">
        <v>36</v>
      </c>
      <c r="B30" s="10" t="s">
        <v>104</v>
      </c>
      <c r="C30" s="10" t="s">
        <v>105</v>
      </c>
      <c r="D30" s="10" t="n">
        <v>0</v>
      </c>
      <c r="E30" s="10"/>
      <c r="F30" s="10"/>
      <c r="G30" s="10" t="s">
        <v>106</v>
      </c>
      <c r="H30" s="9"/>
      <c r="I30" s="9"/>
      <c r="J30" s="9"/>
    </row>
    <row r="31" customFormat="false" ht="23.85" hidden="false" customHeight="false" outlineLevel="0" collapsed="false">
      <c r="A31" s="10" t="s">
        <v>36</v>
      </c>
      <c r="B31" s="10" t="s">
        <v>107</v>
      </c>
      <c r="C31" s="10" t="s">
        <v>105</v>
      </c>
      <c r="D31" s="10" t="s">
        <v>108</v>
      </c>
      <c r="E31" s="10"/>
      <c r="F31" s="10"/>
      <c r="G31" s="10" t="s">
        <v>109</v>
      </c>
      <c r="H31" s="9"/>
      <c r="I31" s="9"/>
      <c r="J31" s="9"/>
    </row>
    <row r="32" customFormat="false" ht="46.25" hidden="false" customHeight="false" outlineLevel="0" collapsed="false">
      <c r="A32" s="10" t="s">
        <v>52</v>
      </c>
      <c r="B32" s="10" t="s">
        <v>110</v>
      </c>
      <c r="C32" s="10" t="s">
        <v>105</v>
      </c>
      <c r="D32" s="10" t="n">
        <v>1.25</v>
      </c>
      <c r="E32" s="10"/>
      <c r="F32" s="10"/>
      <c r="G32" s="10" t="s">
        <v>111</v>
      </c>
      <c r="H32" s="9"/>
      <c r="I32" s="9"/>
      <c r="J32" s="9"/>
    </row>
    <row r="33" customFormat="false" ht="23.85" hidden="false" customHeight="false" outlineLevel="0" collapsed="false">
      <c r="A33" s="10" t="s">
        <v>71</v>
      </c>
      <c r="B33" s="10" t="s">
        <v>112</v>
      </c>
      <c r="C33" s="10" t="s">
        <v>105</v>
      </c>
      <c r="D33" s="10" t="n">
        <v>0</v>
      </c>
      <c r="E33" s="10"/>
      <c r="F33" s="10"/>
      <c r="G33" s="10" t="s">
        <v>113</v>
      </c>
      <c r="H33" s="9"/>
      <c r="I33" s="9"/>
      <c r="J33" s="9"/>
    </row>
    <row r="34" customFormat="false" ht="23.85" hidden="false" customHeight="false" outlineLevel="0" collapsed="false">
      <c r="A34" s="10" t="s">
        <v>71</v>
      </c>
      <c r="B34" s="10" t="s">
        <v>114</v>
      </c>
      <c r="C34" s="10" t="s">
        <v>105</v>
      </c>
      <c r="D34" s="10" t="n">
        <v>0</v>
      </c>
      <c r="E34" s="10"/>
      <c r="F34" s="10"/>
      <c r="G34" s="10" t="s">
        <v>115</v>
      </c>
      <c r="H34" s="9"/>
      <c r="I34" s="9"/>
      <c r="J34" s="9"/>
    </row>
    <row r="35" customFormat="false" ht="35.05" hidden="false" customHeight="false" outlineLevel="0" collapsed="false">
      <c r="A35" s="10" t="s">
        <v>71</v>
      </c>
      <c r="B35" s="10" t="s">
        <v>116</v>
      </c>
      <c r="C35" s="10" t="s">
        <v>105</v>
      </c>
      <c r="D35" s="10" t="n">
        <v>350</v>
      </c>
      <c r="E35" s="10"/>
      <c r="F35" s="10"/>
      <c r="G35" s="10" t="s">
        <v>117</v>
      </c>
      <c r="H35" s="9"/>
      <c r="I35" s="9"/>
      <c r="J35" s="9"/>
    </row>
  </sheetData>
  <autoFilter ref="A4:J35"/>
  <dataValidations count="1">
    <dataValidation allowBlank="true" errorStyle="stop" operator="between" showDropDown="false" showErrorMessage="false" showInputMessage="false" sqref="H5:H35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118</v>
      </c>
    </row>
    <row r="3" customFormat="false" ht="26.85" hidden="false" customHeight="false" outlineLevel="0" collapsed="false">
      <c r="A3" s="7" t="s">
        <v>119</v>
      </c>
      <c r="B3" s="7" t="s">
        <v>120</v>
      </c>
      <c r="C3" s="7" t="s">
        <v>121</v>
      </c>
      <c r="D3" s="7" t="s">
        <v>122</v>
      </c>
      <c r="E3" s="7" t="s">
        <v>31</v>
      </c>
      <c r="F3" s="7" t="s">
        <v>123</v>
      </c>
      <c r="G3" s="7" t="s">
        <v>124</v>
      </c>
      <c r="H3" s="7" t="s">
        <v>125</v>
      </c>
      <c r="I3" s="7" t="s">
        <v>126</v>
      </c>
    </row>
    <row r="4" customFormat="false" ht="15" hidden="false" customHeight="false" outlineLevel="0" collapsed="false">
      <c r="A4" s="11" t="s">
        <v>33</v>
      </c>
      <c r="B4" s="11" t="n">
        <f aca="false">COUNTA('Gros œuvre et maçonnerie'!B5:B500)</f>
        <v>31</v>
      </c>
      <c r="C4" s="11" t="n">
        <f aca="false">COUNTIF('Gros œuvre et maçonnerie'!C5:C500,"1. *")</f>
        <v>14</v>
      </c>
      <c r="D4" s="11" t="n">
        <f aca="false">COUNTIF('Gros œuvre et maçonnerie'!H5:H500,"OK")</f>
        <v>0</v>
      </c>
      <c r="E4" s="11" t="n">
        <f aca="false">COUNTIF('Gros œuvre et maçonnerie'!H5:H500,"À corriger")</f>
        <v>0</v>
      </c>
      <c r="F4" s="11" t="n">
        <f aca="false">COUNTIF('Gros œuvre et maçonnerie'!H5:H500,"Dépend du produit")</f>
        <v>0</v>
      </c>
      <c r="G4" s="11" t="n">
        <f aca="false">COUNTIF('Gros œuvre et maçonnerie'!H5:H500,"Je ne sais pas")</f>
        <v>0</v>
      </c>
      <c r="H4" s="11" t="n">
        <f aca="false">B4-D4-E4-F4-G4</f>
        <v>31</v>
      </c>
      <c r="I4" s="11" t="str">
        <f aca="false">'Gros œuvre et maçonnerie'!B2&amp;""</f>
        <v/>
      </c>
    </row>
    <row r="5" customFormat="false" ht="15" hidden="false" customHeight="false" outlineLevel="0" collapsed="false">
      <c r="A5" s="11" t="s">
        <v>127</v>
      </c>
      <c r="B5" s="11" t="n">
        <f aca="false">COUNTA('Aménagements extérieurs'!B5:B500)</f>
        <v>25</v>
      </c>
      <c r="C5" s="11" t="n">
        <f aca="false">COUNTIF('Aménagements extérieurs'!C5:C500,"1. *")</f>
        <v>11</v>
      </c>
      <c r="D5" s="11" t="n">
        <f aca="false">COUNTIF('Aménagements extérieurs'!H5:H500,"OK")</f>
        <v>0</v>
      </c>
      <c r="E5" s="11" t="n">
        <f aca="false">COUNTIF('Aménagements extérieurs'!H5:H500,"À corriger")</f>
        <v>0</v>
      </c>
      <c r="F5" s="11" t="n">
        <f aca="false">COUNTIF('Aménagements extérieurs'!H5:H500,"Dépend du produit")</f>
        <v>0</v>
      </c>
      <c r="G5" s="11" t="n">
        <f aca="false">COUNTIF('Aménagements extérieurs'!H5:H500,"Je ne sais pas")</f>
        <v>0</v>
      </c>
      <c r="H5" s="11" t="n">
        <f aca="false">B5-D5-E5-F5-G5</f>
        <v>25</v>
      </c>
      <c r="I5" s="11" t="str">
        <f aca="false">'Aménagements extérieurs'!B2&amp;""</f>
        <v/>
      </c>
    </row>
    <row r="6" customFormat="false" ht="15" hidden="false" customHeight="false" outlineLevel="0" collapsed="false">
      <c r="A6" s="11" t="s">
        <v>128</v>
      </c>
      <c r="B6" s="11" t="n">
        <f aca="false">COUNTA('Plâtrerie et isolation'!B5:B500)</f>
        <v>43</v>
      </c>
      <c r="C6" s="11" t="n">
        <f aca="false">COUNTIF('Plâtrerie et isolation'!C5:C500,"1. *")</f>
        <v>19</v>
      </c>
      <c r="D6" s="11" t="n">
        <f aca="false">COUNTIF('Plâtrerie et isolation'!H5:H500,"OK")</f>
        <v>0</v>
      </c>
      <c r="E6" s="11" t="n">
        <f aca="false">COUNTIF('Plâtrerie et isolation'!H5:H500,"À corriger")</f>
        <v>0</v>
      </c>
      <c r="F6" s="11" t="n">
        <f aca="false">COUNTIF('Plâtrerie et isolation'!H5:H500,"Dépend du produit")</f>
        <v>0</v>
      </c>
      <c r="G6" s="11" t="n">
        <f aca="false">COUNTIF('Plâtrerie et isolation'!H5:H500,"Je ne sais pas")</f>
        <v>0</v>
      </c>
      <c r="H6" s="11" t="n">
        <f aca="false">B6-D6-E6-F6-G6</f>
        <v>43</v>
      </c>
      <c r="I6" s="11" t="str">
        <f aca="false">'Plâtrerie et isolation'!B2&amp;""</f>
        <v/>
      </c>
    </row>
    <row r="7" customFormat="false" ht="15" hidden="false" customHeight="false" outlineLevel="0" collapsed="false">
      <c r="A7" s="11" t="s">
        <v>129</v>
      </c>
      <c r="B7" s="11" t="n">
        <f aca="false">COUNTA(Menuiserie!B5:B500)</f>
        <v>18</v>
      </c>
      <c r="C7" s="11" t="n">
        <f aca="false">COUNTIF(Menuiserie!C5:C500,"1. *")</f>
        <v>7</v>
      </c>
      <c r="D7" s="11" t="n">
        <f aca="false">COUNTIF(Menuiserie!H5:H500,"OK")</f>
        <v>0</v>
      </c>
      <c r="E7" s="11" t="n">
        <f aca="false">COUNTIF(Menuiserie!H5:H500,"À corriger")</f>
        <v>0</v>
      </c>
      <c r="F7" s="11" t="n">
        <f aca="false">COUNTIF(Menuiserie!H5:H500,"Dépend du produit")</f>
        <v>0</v>
      </c>
      <c r="G7" s="11" t="n">
        <f aca="false">COUNTIF(Menuiserie!H5:H500,"Je ne sais pas")</f>
        <v>0</v>
      </c>
      <c r="H7" s="11" t="n">
        <f aca="false">B7-D7-E7-F7-G7</f>
        <v>18</v>
      </c>
      <c r="I7" s="11" t="str">
        <f aca="false">Menuiserie!B2&amp;""</f>
        <v/>
      </c>
    </row>
    <row r="8" customFormat="false" ht="15" hidden="false" customHeight="false" outlineLevel="0" collapsed="false">
      <c r="A8" s="11" t="s">
        <v>130</v>
      </c>
      <c r="B8" s="11" t="n">
        <f aca="false">COUNTA('Plomberie, chauffage et ventila'!B5:B500)</f>
        <v>21</v>
      </c>
      <c r="C8" s="11" t="n">
        <f aca="false">COUNTIF('Plomberie, chauffage et ventila'!C5:C500,"1. *")</f>
        <v>3</v>
      </c>
      <c r="D8" s="11" t="n">
        <f aca="false">COUNTIF('Plomberie, chauffage et ventila'!H5:H500,"OK")</f>
        <v>0</v>
      </c>
      <c r="E8" s="11" t="n">
        <f aca="false">COUNTIF('Plomberie, chauffage et ventila'!H5:H500,"À corriger")</f>
        <v>0</v>
      </c>
      <c r="F8" s="11" t="n">
        <f aca="false">COUNTIF('Plomberie, chauffage et ventila'!H5:H500,"Dépend du produit")</f>
        <v>0</v>
      </c>
      <c r="G8" s="11" t="n">
        <f aca="false">COUNTIF('Plomberie, chauffage et ventila'!H5:H500,"Je ne sais pas")</f>
        <v>0</v>
      </c>
      <c r="H8" s="11" t="n">
        <f aca="false">B8-D8-E8-F8-G8</f>
        <v>21</v>
      </c>
      <c r="I8" s="11" t="str">
        <f aca="false">'Plomberie, chauffage et ventila'!B2&amp;""</f>
        <v/>
      </c>
    </row>
    <row r="9" customFormat="false" ht="15" hidden="false" customHeight="false" outlineLevel="0" collapsed="false">
      <c r="A9" s="11" t="s">
        <v>131</v>
      </c>
      <c r="B9" s="11" t="n">
        <f aca="false">COUNTA(Électricité!B5:B500)</f>
        <v>8</v>
      </c>
      <c r="C9" s="11" t="n">
        <f aca="false">COUNTIF(Électricité!C5:C500,"1. *")</f>
        <v>1</v>
      </c>
      <c r="D9" s="11" t="n">
        <f aca="false">COUNTIF(Électricité!H5:H500,"OK")</f>
        <v>0</v>
      </c>
      <c r="E9" s="11" t="n">
        <f aca="false">COUNTIF(Électricité!H5:H500,"À corriger")</f>
        <v>0</v>
      </c>
      <c r="F9" s="11" t="n">
        <f aca="false">COUNTIF(Électricité!H5:H500,"Dépend du produit")</f>
        <v>0</v>
      </c>
      <c r="G9" s="11" t="n">
        <f aca="false">COUNTIF(Électricité!H5:H500,"Je ne sais pas")</f>
        <v>0</v>
      </c>
      <c r="H9" s="11" t="n">
        <f aca="false">B9-D9-E9-F9-G9</f>
        <v>8</v>
      </c>
      <c r="I9" s="11" t="str">
        <f aca="false">Électricité!B2&amp;""</f>
        <v/>
      </c>
    </row>
    <row r="10" customFormat="false" ht="15" hidden="false" customHeight="false" outlineLevel="0" collapsed="false">
      <c r="A10" s="11" t="s">
        <v>132</v>
      </c>
      <c r="B10" s="11" t="n">
        <f aca="false">COUNTA(Sols!B5:B500)</f>
        <v>70</v>
      </c>
      <c r="C10" s="11" t="n">
        <f aca="false">COUNTIF(Sols!C5:C500,"1. *")</f>
        <v>23</v>
      </c>
      <c r="D10" s="11" t="n">
        <f aca="false">COUNTIF(Sols!H5:H500,"OK")</f>
        <v>0</v>
      </c>
      <c r="E10" s="11" t="n">
        <f aca="false">COUNTIF(Sols!H5:H500,"À corriger")</f>
        <v>0</v>
      </c>
      <c r="F10" s="11" t="n">
        <f aca="false">COUNTIF(Sols!H5:H500,"Dépend du produit")</f>
        <v>0</v>
      </c>
      <c r="G10" s="11" t="n">
        <f aca="false">COUNTIF(Sols!H5:H500,"Je ne sais pas")</f>
        <v>0</v>
      </c>
      <c r="H10" s="11" t="n">
        <f aca="false">B10-D10-E10-F10-G10</f>
        <v>70</v>
      </c>
      <c r="I10" s="11" t="str">
        <f aca="false">Sols!B2&amp;""</f>
        <v/>
      </c>
    </row>
    <row r="11" customFormat="false" ht="15" hidden="false" customHeight="false" outlineLevel="0" collapsed="false">
      <c r="A11" s="11" t="s">
        <v>133</v>
      </c>
      <c r="B11" s="11" t="n">
        <f aca="false">COUNTA('Murs intérieurs'!B5:B500)</f>
        <v>32</v>
      </c>
      <c r="C11" s="11" t="n">
        <f aca="false">COUNTIF('Murs intérieurs'!C5:C500,"1. *")</f>
        <v>13</v>
      </c>
      <c r="D11" s="11" t="n">
        <f aca="false">COUNTIF('Murs intérieurs'!H5:H500,"OK")</f>
        <v>0</v>
      </c>
      <c r="E11" s="11" t="n">
        <f aca="false">COUNTIF('Murs intérieurs'!H5:H500,"À corriger")</f>
        <v>0</v>
      </c>
      <c r="F11" s="11" t="n">
        <f aca="false">COUNTIF('Murs intérieurs'!H5:H500,"Dépend du produit")</f>
        <v>0</v>
      </c>
      <c r="G11" s="11" t="n">
        <f aca="false">COUNTIF('Murs intérieurs'!H5:H500,"Je ne sais pas")</f>
        <v>0</v>
      </c>
      <c r="H11" s="11" t="n">
        <f aca="false">B11-D11-E11-F11-G11</f>
        <v>32</v>
      </c>
      <c r="I11" s="11" t="str">
        <f aca="false">'Murs intérieurs'!B2&amp;""</f>
        <v/>
      </c>
    </row>
    <row r="12" customFormat="false" ht="15" hidden="false" customHeight="false" outlineLevel="0" collapsed="false">
      <c r="A12" s="11" t="s">
        <v>134</v>
      </c>
      <c r="B12" s="11" t="n">
        <f aca="false">COUNTA(Façades!B5:B500)</f>
        <v>23</v>
      </c>
      <c r="C12" s="11" t="n">
        <f aca="false">COUNTIF(Façades!C5:C500,"1. *")</f>
        <v>12</v>
      </c>
      <c r="D12" s="11" t="n">
        <f aca="false">COUNTIF(Façades!H5:H500,"OK")</f>
        <v>0</v>
      </c>
      <c r="E12" s="11" t="n">
        <f aca="false">COUNTIF(Façades!H5:H500,"À corriger")</f>
        <v>0</v>
      </c>
      <c r="F12" s="11" t="n">
        <f aca="false">COUNTIF(Façades!H5:H500,"Dépend du produit")</f>
        <v>0</v>
      </c>
      <c r="G12" s="11" t="n">
        <f aca="false">COUNTIF(Façades!H5:H500,"Je ne sais pas")</f>
        <v>0</v>
      </c>
      <c r="H12" s="11" t="n">
        <f aca="false">B12-D12-E12-F12-G12</f>
        <v>23</v>
      </c>
      <c r="I12" s="11" t="str">
        <f aca="false">Façades!B2&amp;""</f>
        <v/>
      </c>
    </row>
    <row r="13" customFormat="false" ht="15" hidden="false" customHeight="false" outlineLevel="0" collapsed="false">
      <c r="A13" s="11" t="s">
        <v>135</v>
      </c>
      <c r="B13" s="11" t="n">
        <f aca="false">COUNTA(Charpente!B5:B500)</f>
        <v>3</v>
      </c>
      <c r="C13" s="11" t="n">
        <f aca="false">COUNTIF(Charpente!C5:C500,"1. *")</f>
        <v>0</v>
      </c>
      <c r="D13" s="11" t="n">
        <f aca="false">COUNTIF(Charpente!H5:H500,"OK")</f>
        <v>0</v>
      </c>
      <c r="E13" s="11" t="n">
        <f aca="false">COUNTIF(Charpente!H5:H500,"À corriger")</f>
        <v>0</v>
      </c>
      <c r="F13" s="11" t="n">
        <f aca="false">COUNTIF(Charpente!H5:H500,"Dépend du produit")</f>
        <v>0</v>
      </c>
      <c r="G13" s="11" t="n">
        <f aca="false">COUNTIF(Charpente!H5:H500,"Je ne sais pas")</f>
        <v>0</v>
      </c>
      <c r="H13" s="11" t="n">
        <f aca="false">B13-D13-E13-F13-G13</f>
        <v>3</v>
      </c>
      <c r="I13" s="11" t="str">
        <f aca="false">Charpente!B2&amp;""</f>
        <v/>
      </c>
    </row>
    <row r="14" customFormat="false" ht="15" hidden="false" customHeight="false" outlineLevel="0" collapsed="false">
      <c r="A14" s="11" t="s">
        <v>136</v>
      </c>
      <c r="B14" s="11" t="n">
        <f aca="false">COUNTA(Couverture!B5:B500)</f>
        <v>32</v>
      </c>
      <c r="C14" s="11" t="n">
        <f aca="false">COUNTIF(Couverture!C5:C500,"1. *")</f>
        <v>12</v>
      </c>
      <c r="D14" s="11" t="n">
        <f aca="false">COUNTIF(Couverture!H5:H500,"OK")</f>
        <v>0</v>
      </c>
      <c r="E14" s="11" t="n">
        <f aca="false">COUNTIF(Couverture!H5:H500,"À corriger")</f>
        <v>0</v>
      </c>
      <c r="F14" s="11" t="n">
        <f aca="false">COUNTIF(Couverture!H5:H500,"Dépend du produit")</f>
        <v>0</v>
      </c>
      <c r="G14" s="11" t="n">
        <f aca="false">COUNTIF(Couverture!H5:H500,"Je ne sais pas")</f>
        <v>0</v>
      </c>
      <c r="H14" s="11" t="n">
        <f aca="false">B14-D14-E14-F14-G14</f>
        <v>32</v>
      </c>
      <c r="I14" s="11" t="str">
        <f aca="false">Couverture!B2&amp;""</f>
        <v/>
      </c>
    </row>
    <row r="15" customFormat="false" ht="15" hidden="false" customHeight="false" outlineLevel="0" collapsed="false">
      <c r="A15" s="3" t="s">
        <v>137</v>
      </c>
      <c r="B15" s="12" t="n">
        <f aca="false">SUM(B4:B14)</f>
        <v>306</v>
      </c>
      <c r="C15" s="12" t="n">
        <f aca="false">SUM(C4:C14)</f>
        <v>115</v>
      </c>
      <c r="D15" s="12" t="n">
        <f aca="false">SUM(D4:D14)</f>
        <v>0</v>
      </c>
      <c r="E15" s="12" t="n">
        <f aca="false">SUM(E4:E14)</f>
        <v>0</v>
      </c>
      <c r="F15" s="12" t="n">
        <f aca="false">SUM(F4:F14)</f>
        <v>0</v>
      </c>
      <c r="G15" s="12" t="n">
        <f aca="false">SUM(G4:G14)</f>
        <v>0</v>
      </c>
      <c r="H15" s="12" t="n">
        <f aca="false">SUM(H4:H14)</f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15" hidden="false" customHeight="false" outlineLevel="0" collapsed="false">
      <c r="A5" s="8" t="s">
        <v>138</v>
      </c>
      <c r="B5" s="8" t="s">
        <v>139</v>
      </c>
      <c r="C5" s="8" t="s">
        <v>27</v>
      </c>
      <c r="D5" s="8" t="n">
        <v>10</v>
      </c>
      <c r="E5" s="8" t="s">
        <v>28</v>
      </c>
      <c r="F5" s="8" t="s">
        <v>140</v>
      </c>
      <c r="G5" s="8"/>
      <c r="H5" s="9"/>
      <c r="I5" s="9"/>
      <c r="J5" s="9"/>
    </row>
    <row r="6" customFormat="false" ht="23.85" hidden="false" customHeight="false" outlineLevel="0" collapsed="false">
      <c r="A6" s="8" t="s">
        <v>141</v>
      </c>
      <c r="B6" s="8" t="s">
        <v>142</v>
      </c>
      <c r="C6" s="8" t="s">
        <v>27</v>
      </c>
      <c r="D6" s="8" t="n">
        <v>50</v>
      </c>
      <c r="E6" s="8"/>
      <c r="F6" s="8" t="s">
        <v>75</v>
      </c>
      <c r="G6" s="8" t="s">
        <v>143</v>
      </c>
      <c r="H6" s="9"/>
      <c r="I6" s="9"/>
      <c r="J6" s="9"/>
    </row>
    <row r="7" customFormat="false" ht="15" hidden="false" customHeight="false" outlineLevel="0" collapsed="false">
      <c r="A7" s="8" t="s">
        <v>141</v>
      </c>
      <c r="B7" s="8" t="s">
        <v>144</v>
      </c>
      <c r="C7" s="8" t="s">
        <v>27</v>
      </c>
      <c r="D7" s="8" t="n">
        <v>4</v>
      </c>
      <c r="E7" s="8" t="s">
        <v>58</v>
      </c>
      <c r="F7" s="8" t="s">
        <v>145</v>
      </c>
      <c r="G7" s="8"/>
      <c r="H7" s="9"/>
      <c r="I7" s="9"/>
      <c r="J7" s="9"/>
    </row>
    <row r="8" customFormat="false" ht="15" hidden="false" customHeight="false" outlineLevel="0" collapsed="false">
      <c r="A8" s="8" t="s">
        <v>141</v>
      </c>
      <c r="B8" s="8" t="s">
        <v>146</v>
      </c>
      <c r="C8" s="8" t="s">
        <v>27</v>
      </c>
      <c r="D8" s="8" t="n">
        <v>5</v>
      </c>
      <c r="E8" s="8" t="s">
        <v>28</v>
      </c>
      <c r="F8" s="8" t="s">
        <v>39</v>
      </c>
      <c r="G8" s="8"/>
      <c r="H8" s="9"/>
      <c r="I8" s="9"/>
      <c r="J8" s="9"/>
    </row>
    <row r="9" customFormat="false" ht="23.85" hidden="false" customHeight="false" outlineLevel="0" collapsed="false">
      <c r="A9" s="8" t="s">
        <v>147</v>
      </c>
      <c r="B9" s="8" t="s">
        <v>148</v>
      </c>
      <c r="C9" s="8" t="s">
        <v>27</v>
      </c>
      <c r="D9" s="8" t="n">
        <v>30</v>
      </c>
      <c r="E9" s="8" t="s">
        <v>58</v>
      </c>
      <c r="F9" s="8" t="s">
        <v>79</v>
      </c>
      <c r="G9" s="8"/>
      <c r="H9" s="9"/>
      <c r="I9" s="9"/>
      <c r="J9" s="9"/>
    </row>
    <row r="10" customFormat="false" ht="23.85" hidden="false" customHeight="false" outlineLevel="0" collapsed="false">
      <c r="A10" s="8" t="s">
        <v>147</v>
      </c>
      <c r="B10" s="8" t="s">
        <v>149</v>
      </c>
      <c r="C10" s="8" t="s">
        <v>27</v>
      </c>
      <c r="D10" s="8" t="n">
        <v>50</v>
      </c>
      <c r="E10" s="8" t="s">
        <v>58</v>
      </c>
      <c r="F10" s="8" t="s">
        <v>150</v>
      </c>
      <c r="G10" s="8"/>
      <c r="H10" s="9"/>
      <c r="I10" s="9"/>
      <c r="J10" s="9"/>
    </row>
    <row r="11" customFormat="false" ht="23.85" hidden="false" customHeight="false" outlineLevel="0" collapsed="false">
      <c r="A11" s="8" t="s">
        <v>147</v>
      </c>
      <c r="B11" s="8" t="s">
        <v>73</v>
      </c>
      <c r="C11" s="8" t="s">
        <v>27</v>
      </c>
      <c r="D11" s="8" t="n">
        <v>12</v>
      </c>
      <c r="E11" s="8" t="s">
        <v>74</v>
      </c>
      <c r="F11" s="8" t="s">
        <v>75</v>
      </c>
      <c r="G11" s="8"/>
      <c r="H11" s="9"/>
      <c r="I11" s="9"/>
      <c r="J11" s="9"/>
    </row>
    <row r="12" customFormat="false" ht="23.85" hidden="false" customHeight="false" outlineLevel="0" collapsed="false">
      <c r="A12" s="8" t="s">
        <v>151</v>
      </c>
      <c r="B12" s="8" t="s">
        <v>152</v>
      </c>
      <c r="C12" s="8" t="s">
        <v>27</v>
      </c>
      <c r="D12" s="8" t="n">
        <v>5</v>
      </c>
      <c r="E12" s="8" t="s">
        <v>38</v>
      </c>
      <c r="F12" s="8" t="s">
        <v>153</v>
      </c>
      <c r="G12" s="8"/>
      <c r="H12" s="9"/>
      <c r="I12" s="9"/>
      <c r="J12" s="9"/>
    </row>
    <row r="13" customFormat="false" ht="23.85" hidden="false" customHeight="false" outlineLevel="0" collapsed="false">
      <c r="A13" s="8" t="s">
        <v>151</v>
      </c>
      <c r="B13" s="8" t="s">
        <v>154</v>
      </c>
      <c r="C13" s="8" t="s">
        <v>27</v>
      </c>
      <c r="D13" s="8" t="n">
        <v>60</v>
      </c>
      <c r="E13" s="8" t="s">
        <v>58</v>
      </c>
      <c r="F13" s="8" t="s">
        <v>150</v>
      </c>
      <c r="G13" s="8"/>
      <c r="H13" s="9"/>
      <c r="I13" s="9"/>
      <c r="J13" s="9"/>
    </row>
    <row r="14" customFormat="false" ht="23.85" hidden="false" customHeight="false" outlineLevel="0" collapsed="false">
      <c r="A14" s="8" t="s">
        <v>151</v>
      </c>
      <c r="B14" s="8" t="s">
        <v>155</v>
      </c>
      <c r="C14" s="8" t="s">
        <v>27</v>
      </c>
      <c r="D14" s="8" t="n">
        <v>200</v>
      </c>
      <c r="E14" s="8"/>
      <c r="F14" s="8" t="s">
        <v>75</v>
      </c>
      <c r="G14" s="8"/>
      <c r="H14" s="9"/>
      <c r="I14" s="9"/>
      <c r="J14" s="9"/>
    </row>
    <row r="15" customFormat="false" ht="23.85" hidden="false" customHeight="false" outlineLevel="0" collapsed="false">
      <c r="A15" s="8" t="s">
        <v>151</v>
      </c>
      <c r="B15" s="8" t="s">
        <v>146</v>
      </c>
      <c r="C15" s="8" t="s">
        <v>27</v>
      </c>
      <c r="D15" s="8" t="n">
        <v>10</v>
      </c>
      <c r="E15" s="8" t="s">
        <v>28</v>
      </c>
      <c r="F15" s="8" t="s">
        <v>39</v>
      </c>
      <c r="G15" s="8"/>
      <c r="H15" s="9"/>
      <c r="I15" s="9"/>
      <c r="J15" s="9"/>
    </row>
    <row r="16" customFormat="false" ht="15" hidden="false" customHeight="false" outlineLevel="0" collapsed="false">
      <c r="A16" s="10" t="s">
        <v>138</v>
      </c>
      <c r="B16" s="10" t="s">
        <v>156</v>
      </c>
      <c r="C16" s="10" t="s">
        <v>85</v>
      </c>
      <c r="D16" s="10" t="n">
        <v>25</v>
      </c>
      <c r="E16" s="10" t="s">
        <v>50</v>
      </c>
      <c r="F16" s="10" t="s">
        <v>75</v>
      </c>
      <c r="G16" s="10"/>
      <c r="H16" s="9"/>
      <c r="I16" s="9"/>
      <c r="J16" s="9"/>
    </row>
    <row r="17" customFormat="false" ht="15" hidden="false" customHeight="false" outlineLevel="0" collapsed="false">
      <c r="A17" s="10" t="s">
        <v>138</v>
      </c>
      <c r="B17" s="10" t="s">
        <v>157</v>
      </c>
      <c r="C17" s="10" t="s">
        <v>85</v>
      </c>
      <c r="D17" s="10" t="n">
        <v>1000</v>
      </c>
      <c r="E17" s="10" t="s">
        <v>50</v>
      </c>
      <c r="F17" s="10" t="s">
        <v>158</v>
      </c>
      <c r="G17" s="10"/>
      <c r="H17" s="9"/>
      <c r="I17" s="9"/>
      <c r="J17" s="9"/>
    </row>
    <row r="18" customFormat="false" ht="23.85" hidden="false" customHeight="false" outlineLevel="0" collapsed="false">
      <c r="A18" s="10" t="s">
        <v>141</v>
      </c>
      <c r="B18" s="10" t="s">
        <v>103</v>
      </c>
      <c r="C18" s="10" t="s">
        <v>85</v>
      </c>
      <c r="D18" s="10" t="n">
        <v>50</v>
      </c>
      <c r="E18" s="10" t="s">
        <v>102</v>
      </c>
      <c r="F18" s="10" t="s">
        <v>75</v>
      </c>
      <c r="G18" s="10"/>
      <c r="H18" s="9"/>
      <c r="I18" s="9"/>
      <c r="J18" s="9"/>
    </row>
    <row r="19" customFormat="false" ht="23.85" hidden="false" customHeight="false" outlineLevel="0" collapsed="false">
      <c r="A19" s="10" t="s">
        <v>147</v>
      </c>
      <c r="B19" s="10" t="s">
        <v>159</v>
      </c>
      <c r="C19" s="10" t="s">
        <v>85</v>
      </c>
      <c r="D19" s="10" t="n">
        <v>2.5</v>
      </c>
      <c r="E19" s="10" t="s">
        <v>68</v>
      </c>
      <c r="F19" s="10" t="s">
        <v>160</v>
      </c>
      <c r="G19" s="10"/>
      <c r="H19" s="9"/>
      <c r="I19" s="9"/>
      <c r="J19" s="9"/>
    </row>
    <row r="20" customFormat="false" ht="23.85" hidden="false" customHeight="false" outlineLevel="0" collapsed="false">
      <c r="A20" s="10" t="s">
        <v>147</v>
      </c>
      <c r="B20" s="10" t="s">
        <v>161</v>
      </c>
      <c r="C20" s="10" t="s">
        <v>85</v>
      </c>
      <c r="D20" s="10" t="n">
        <v>25</v>
      </c>
      <c r="E20" s="10" t="s">
        <v>68</v>
      </c>
      <c r="F20" s="10" t="s">
        <v>65</v>
      </c>
      <c r="G20" s="10"/>
      <c r="H20" s="9"/>
      <c r="I20" s="9"/>
      <c r="J20" s="9"/>
    </row>
    <row r="21" customFormat="false" ht="23.85" hidden="false" customHeight="false" outlineLevel="0" collapsed="false">
      <c r="A21" s="10" t="s">
        <v>151</v>
      </c>
      <c r="B21" s="10" t="s">
        <v>162</v>
      </c>
      <c r="C21" s="10" t="s">
        <v>85</v>
      </c>
      <c r="D21" s="10" t="n">
        <v>14.5</v>
      </c>
      <c r="E21" s="10" t="s">
        <v>58</v>
      </c>
      <c r="F21" s="10" t="s">
        <v>163</v>
      </c>
      <c r="G21" s="10"/>
      <c r="H21" s="9"/>
      <c r="I21" s="9"/>
      <c r="J21" s="9"/>
    </row>
    <row r="22" customFormat="false" ht="23.85" hidden="false" customHeight="false" outlineLevel="0" collapsed="false">
      <c r="A22" s="10" t="s">
        <v>151</v>
      </c>
      <c r="B22" s="10" t="s">
        <v>164</v>
      </c>
      <c r="C22" s="10" t="s">
        <v>85</v>
      </c>
      <c r="D22" s="10" t="n">
        <v>2.4</v>
      </c>
      <c r="E22" s="10" t="s">
        <v>68</v>
      </c>
      <c r="F22" s="10" t="s">
        <v>165</v>
      </c>
      <c r="G22" s="10"/>
      <c r="H22" s="9"/>
      <c r="I22" s="9"/>
      <c r="J22" s="9"/>
    </row>
    <row r="23" customFormat="false" ht="23.85" hidden="false" customHeight="false" outlineLevel="0" collapsed="false">
      <c r="A23" s="10" t="s">
        <v>151</v>
      </c>
      <c r="B23" s="10" t="s">
        <v>166</v>
      </c>
      <c r="C23" s="10" t="s">
        <v>85</v>
      </c>
      <c r="D23" s="10" t="n">
        <v>4</v>
      </c>
      <c r="E23" s="10" t="s">
        <v>68</v>
      </c>
      <c r="F23" s="10" t="s">
        <v>75</v>
      </c>
      <c r="G23" s="10"/>
      <c r="H23" s="9"/>
      <c r="I23" s="9"/>
      <c r="J23" s="9"/>
    </row>
    <row r="24" customFormat="false" ht="35.05" hidden="false" customHeight="false" outlineLevel="0" collapsed="false">
      <c r="A24" s="10" t="s">
        <v>138</v>
      </c>
      <c r="B24" s="10" t="s">
        <v>167</v>
      </c>
      <c r="C24" s="10" t="s">
        <v>105</v>
      </c>
      <c r="D24" s="10" t="n">
        <v>1.5</v>
      </c>
      <c r="E24" s="10"/>
      <c r="F24" s="10"/>
      <c r="G24" s="10" t="s">
        <v>168</v>
      </c>
      <c r="H24" s="9"/>
      <c r="I24" s="9"/>
      <c r="J24" s="9"/>
    </row>
    <row r="25" customFormat="false" ht="23.85" hidden="false" customHeight="false" outlineLevel="0" collapsed="false">
      <c r="A25" s="10" t="s">
        <v>141</v>
      </c>
      <c r="B25" s="10" t="s">
        <v>169</v>
      </c>
      <c r="C25" s="10" t="s">
        <v>105</v>
      </c>
      <c r="D25" s="10" t="n">
        <v>15</v>
      </c>
      <c r="E25" s="10"/>
      <c r="F25" s="10"/>
      <c r="G25" s="10" t="s">
        <v>170</v>
      </c>
      <c r="H25" s="9"/>
      <c r="I25" s="9"/>
      <c r="J25" s="9"/>
    </row>
    <row r="26" customFormat="false" ht="23.85" hidden="false" customHeight="false" outlineLevel="0" collapsed="false">
      <c r="A26" s="10" t="s">
        <v>147</v>
      </c>
      <c r="B26" s="10" t="s">
        <v>171</v>
      </c>
      <c r="C26" s="10" t="s">
        <v>105</v>
      </c>
      <c r="D26" s="10" t="n">
        <v>0</v>
      </c>
      <c r="E26" s="10"/>
      <c r="F26" s="10"/>
      <c r="G26" s="10" t="s">
        <v>172</v>
      </c>
      <c r="H26" s="9"/>
      <c r="I26" s="9"/>
      <c r="J26" s="9"/>
    </row>
    <row r="27" customFormat="false" ht="23.85" hidden="false" customHeight="false" outlineLevel="0" collapsed="false">
      <c r="A27" s="10" t="s">
        <v>147</v>
      </c>
      <c r="B27" s="10" t="s">
        <v>173</v>
      </c>
      <c r="C27" s="10" t="s">
        <v>105</v>
      </c>
      <c r="D27" s="10" t="n">
        <v>0</v>
      </c>
      <c r="E27" s="10"/>
      <c r="F27" s="10"/>
      <c r="G27" s="10" t="s">
        <v>174</v>
      </c>
      <c r="H27" s="9"/>
      <c r="I27" s="9"/>
      <c r="J27" s="9"/>
    </row>
    <row r="28" customFormat="false" ht="23.85" hidden="false" customHeight="false" outlineLevel="0" collapsed="false">
      <c r="A28" s="10" t="s">
        <v>151</v>
      </c>
      <c r="B28" s="10" t="s">
        <v>175</v>
      </c>
      <c r="C28" s="10" t="s">
        <v>105</v>
      </c>
      <c r="D28" s="10" t="n">
        <v>50</v>
      </c>
      <c r="E28" s="10"/>
      <c r="F28" s="10"/>
      <c r="G28" s="10" t="s">
        <v>176</v>
      </c>
      <c r="H28" s="9"/>
      <c r="I28" s="9"/>
      <c r="J28" s="9"/>
    </row>
    <row r="29" customFormat="false" ht="23.85" hidden="false" customHeight="false" outlineLevel="0" collapsed="false">
      <c r="A29" s="10" t="s">
        <v>151</v>
      </c>
      <c r="B29" s="10" t="s">
        <v>177</v>
      </c>
      <c r="C29" s="10" t="s">
        <v>105</v>
      </c>
      <c r="D29" s="10" t="n">
        <v>2</v>
      </c>
      <c r="E29" s="10"/>
      <c r="F29" s="10"/>
      <c r="G29" s="10" t="s">
        <v>178</v>
      </c>
      <c r="H29" s="9"/>
      <c r="I29" s="9"/>
      <c r="J29" s="9"/>
    </row>
  </sheetData>
  <autoFilter ref="A4:J29"/>
  <dataValidations count="1">
    <dataValidation allowBlank="true" errorStyle="stop" operator="between" showDropDown="false" showErrorMessage="false" showInputMessage="false" sqref="H5:H29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23.85" hidden="false" customHeight="false" outlineLevel="0" collapsed="false">
      <c r="A5" s="8" t="s">
        <v>179</v>
      </c>
      <c r="B5" s="8" t="s">
        <v>180</v>
      </c>
      <c r="C5" s="8" t="s">
        <v>27</v>
      </c>
      <c r="D5" s="8" t="n">
        <v>7</v>
      </c>
      <c r="E5" s="8" t="s">
        <v>181</v>
      </c>
      <c r="F5" s="8" t="s">
        <v>182</v>
      </c>
      <c r="G5" s="8" t="s">
        <v>183</v>
      </c>
      <c r="H5" s="9"/>
      <c r="I5" s="9"/>
      <c r="J5" s="9"/>
    </row>
    <row r="6" customFormat="false" ht="23.85" hidden="false" customHeight="false" outlineLevel="0" collapsed="false">
      <c r="A6" s="8" t="s">
        <v>179</v>
      </c>
      <c r="B6" s="8" t="s">
        <v>184</v>
      </c>
      <c r="C6" s="8" t="s">
        <v>27</v>
      </c>
      <c r="D6" s="8" t="n">
        <v>0.035</v>
      </c>
      <c r="E6" s="8" t="s">
        <v>185</v>
      </c>
      <c r="F6" s="8" t="s">
        <v>186</v>
      </c>
      <c r="G6" s="8" t="s">
        <v>187</v>
      </c>
      <c r="H6" s="9"/>
      <c r="I6" s="9"/>
      <c r="J6" s="9"/>
    </row>
    <row r="7" customFormat="false" ht="15" hidden="false" customHeight="false" outlineLevel="0" collapsed="false">
      <c r="A7" s="8" t="s">
        <v>179</v>
      </c>
      <c r="B7" s="8" t="s">
        <v>188</v>
      </c>
      <c r="C7" s="8" t="s">
        <v>27</v>
      </c>
      <c r="D7" s="8" t="n">
        <v>5</v>
      </c>
      <c r="E7" s="8" t="s">
        <v>28</v>
      </c>
      <c r="F7" s="8" t="s">
        <v>29</v>
      </c>
      <c r="G7" s="8"/>
      <c r="H7" s="9"/>
      <c r="I7" s="9"/>
      <c r="J7" s="9"/>
    </row>
    <row r="8" customFormat="false" ht="23.85" hidden="false" customHeight="false" outlineLevel="0" collapsed="false">
      <c r="A8" s="8" t="s">
        <v>179</v>
      </c>
      <c r="B8" s="8" t="s">
        <v>189</v>
      </c>
      <c r="C8" s="8" t="s">
        <v>27</v>
      </c>
      <c r="D8" s="8" t="n">
        <v>40</v>
      </c>
      <c r="E8" s="8" t="s">
        <v>102</v>
      </c>
      <c r="F8" s="8" t="s">
        <v>75</v>
      </c>
      <c r="G8" s="8"/>
      <c r="H8" s="9"/>
      <c r="I8" s="9"/>
      <c r="J8" s="9"/>
    </row>
    <row r="9" customFormat="false" ht="23.85" hidden="false" customHeight="false" outlineLevel="0" collapsed="false">
      <c r="A9" s="8" t="s">
        <v>179</v>
      </c>
      <c r="B9" s="8" t="s">
        <v>190</v>
      </c>
      <c r="C9" s="8" t="s">
        <v>27</v>
      </c>
      <c r="D9" s="8" t="n">
        <v>1</v>
      </c>
      <c r="E9" s="8" t="s">
        <v>68</v>
      </c>
      <c r="F9" s="8" t="s">
        <v>43</v>
      </c>
      <c r="G9" s="8" t="s">
        <v>191</v>
      </c>
      <c r="H9" s="9"/>
      <c r="I9" s="9"/>
      <c r="J9" s="9"/>
    </row>
    <row r="10" customFormat="false" ht="23.85" hidden="false" customHeight="false" outlineLevel="0" collapsed="false">
      <c r="A10" s="8" t="s">
        <v>192</v>
      </c>
      <c r="B10" s="8" t="s">
        <v>180</v>
      </c>
      <c r="C10" s="8" t="s">
        <v>27</v>
      </c>
      <c r="D10" s="8" t="n">
        <v>7</v>
      </c>
      <c r="E10" s="8" t="s">
        <v>181</v>
      </c>
      <c r="F10" s="8" t="s">
        <v>182</v>
      </c>
      <c r="G10" s="8" t="s">
        <v>183</v>
      </c>
      <c r="H10" s="9"/>
      <c r="I10" s="9"/>
      <c r="J10" s="9"/>
    </row>
    <row r="11" customFormat="false" ht="23.85" hidden="false" customHeight="false" outlineLevel="0" collapsed="false">
      <c r="A11" s="8" t="s">
        <v>192</v>
      </c>
      <c r="B11" s="8" t="s">
        <v>184</v>
      </c>
      <c r="C11" s="8" t="s">
        <v>27</v>
      </c>
      <c r="D11" s="8" t="n">
        <v>0.032</v>
      </c>
      <c r="E11" s="8" t="s">
        <v>185</v>
      </c>
      <c r="F11" s="8" t="s">
        <v>186</v>
      </c>
      <c r="G11" s="8" t="s">
        <v>187</v>
      </c>
      <c r="H11" s="9"/>
      <c r="I11" s="9"/>
      <c r="J11" s="9"/>
    </row>
    <row r="12" customFormat="false" ht="15" hidden="false" customHeight="false" outlineLevel="0" collapsed="false">
      <c r="A12" s="8" t="s">
        <v>192</v>
      </c>
      <c r="B12" s="8" t="s">
        <v>188</v>
      </c>
      <c r="C12" s="8" t="s">
        <v>27</v>
      </c>
      <c r="D12" s="8" t="n">
        <v>5</v>
      </c>
      <c r="E12" s="8" t="s">
        <v>28</v>
      </c>
      <c r="F12" s="8" t="s">
        <v>29</v>
      </c>
      <c r="G12" s="8"/>
      <c r="H12" s="9"/>
      <c r="I12" s="9"/>
      <c r="J12" s="9"/>
    </row>
    <row r="13" customFormat="false" ht="23.85" hidden="false" customHeight="false" outlineLevel="0" collapsed="false">
      <c r="A13" s="8" t="s">
        <v>192</v>
      </c>
      <c r="B13" s="8" t="s">
        <v>189</v>
      </c>
      <c r="C13" s="8" t="s">
        <v>27</v>
      </c>
      <c r="D13" s="8" t="n">
        <v>40</v>
      </c>
      <c r="E13" s="8" t="s">
        <v>102</v>
      </c>
      <c r="F13" s="8" t="s">
        <v>75</v>
      </c>
      <c r="G13" s="8"/>
      <c r="H13" s="9"/>
      <c r="I13" s="9"/>
      <c r="J13" s="9"/>
    </row>
    <row r="14" customFormat="false" ht="23.85" hidden="false" customHeight="false" outlineLevel="0" collapsed="false">
      <c r="A14" s="8" t="s">
        <v>192</v>
      </c>
      <c r="B14" s="8" t="s">
        <v>190</v>
      </c>
      <c r="C14" s="8" t="s">
        <v>27</v>
      </c>
      <c r="D14" s="8" t="n">
        <v>1</v>
      </c>
      <c r="E14" s="8" t="s">
        <v>68</v>
      </c>
      <c r="F14" s="8" t="s">
        <v>43</v>
      </c>
      <c r="G14" s="8" t="s">
        <v>191</v>
      </c>
      <c r="H14" s="9"/>
      <c r="I14" s="9"/>
      <c r="J14" s="9"/>
    </row>
    <row r="15" customFormat="false" ht="23.85" hidden="false" customHeight="false" outlineLevel="0" collapsed="false">
      <c r="A15" s="8" t="s">
        <v>193</v>
      </c>
      <c r="B15" s="8" t="s">
        <v>194</v>
      </c>
      <c r="C15" s="8" t="s">
        <v>27</v>
      </c>
      <c r="D15" s="8" t="n">
        <v>5</v>
      </c>
      <c r="E15" s="8" t="s">
        <v>28</v>
      </c>
      <c r="F15" s="8" t="s">
        <v>29</v>
      </c>
      <c r="G15" s="8"/>
      <c r="H15" s="9"/>
      <c r="I15" s="9"/>
      <c r="J15" s="9"/>
    </row>
    <row r="16" customFormat="false" ht="23.85" hidden="false" customHeight="false" outlineLevel="0" collapsed="false">
      <c r="A16" s="8" t="s">
        <v>193</v>
      </c>
      <c r="B16" s="8" t="s">
        <v>195</v>
      </c>
      <c r="C16" s="8" t="s">
        <v>27</v>
      </c>
      <c r="D16" s="8" t="n">
        <v>25</v>
      </c>
      <c r="E16" s="8"/>
      <c r="F16" s="8" t="s">
        <v>43</v>
      </c>
      <c r="G16" s="8" t="s">
        <v>196</v>
      </c>
      <c r="H16" s="9"/>
      <c r="I16" s="9"/>
      <c r="J16" s="9"/>
    </row>
    <row r="17" customFormat="false" ht="23.85" hidden="false" customHeight="false" outlineLevel="0" collapsed="false">
      <c r="A17" s="8" t="s">
        <v>193</v>
      </c>
      <c r="B17" s="8" t="s">
        <v>197</v>
      </c>
      <c r="C17" s="8" t="s">
        <v>27</v>
      </c>
      <c r="D17" s="8" t="n">
        <v>0.35</v>
      </c>
      <c r="E17" s="8" t="s">
        <v>50</v>
      </c>
      <c r="F17" s="8" t="s">
        <v>43</v>
      </c>
      <c r="G17" s="8" t="s">
        <v>198</v>
      </c>
      <c r="H17" s="9"/>
      <c r="I17" s="9"/>
      <c r="J17" s="9"/>
    </row>
    <row r="18" customFormat="false" ht="23.85" hidden="false" customHeight="false" outlineLevel="0" collapsed="false">
      <c r="A18" s="8" t="s">
        <v>199</v>
      </c>
      <c r="B18" s="8" t="s">
        <v>180</v>
      </c>
      <c r="C18" s="8" t="s">
        <v>27</v>
      </c>
      <c r="D18" s="8" t="n">
        <v>7</v>
      </c>
      <c r="E18" s="8" t="s">
        <v>181</v>
      </c>
      <c r="F18" s="8" t="s">
        <v>95</v>
      </c>
      <c r="G18" s="8"/>
      <c r="H18" s="9"/>
      <c r="I18" s="9"/>
      <c r="J18" s="9"/>
    </row>
    <row r="19" customFormat="false" ht="23.85" hidden="false" customHeight="false" outlineLevel="0" collapsed="false">
      <c r="A19" s="8" t="s">
        <v>199</v>
      </c>
      <c r="B19" s="8" t="s">
        <v>200</v>
      </c>
      <c r="C19" s="8" t="s">
        <v>27</v>
      </c>
      <c r="D19" s="8" t="n">
        <v>0</v>
      </c>
      <c r="E19" s="8" t="s">
        <v>185</v>
      </c>
      <c r="F19" s="8" t="s">
        <v>201</v>
      </c>
      <c r="G19" s="8" t="s">
        <v>202</v>
      </c>
      <c r="H19" s="9"/>
      <c r="I19" s="9"/>
      <c r="J19" s="9"/>
    </row>
    <row r="20" customFormat="false" ht="23.85" hidden="false" customHeight="false" outlineLevel="0" collapsed="false">
      <c r="A20" s="8" t="s">
        <v>199</v>
      </c>
      <c r="B20" s="8" t="s">
        <v>203</v>
      </c>
      <c r="C20" s="8" t="s">
        <v>27</v>
      </c>
      <c r="D20" s="8" t="n">
        <v>0</v>
      </c>
      <c r="E20" s="8" t="s">
        <v>204</v>
      </c>
      <c r="F20" s="8" t="s">
        <v>205</v>
      </c>
      <c r="G20" s="8" t="s">
        <v>202</v>
      </c>
      <c r="H20" s="9"/>
      <c r="I20" s="9"/>
      <c r="J20" s="9"/>
    </row>
    <row r="21" customFormat="false" ht="23.85" hidden="false" customHeight="false" outlineLevel="0" collapsed="false">
      <c r="A21" s="8" t="s">
        <v>206</v>
      </c>
      <c r="B21" s="8" t="s">
        <v>207</v>
      </c>
      <c r="C21" s="8" t="s">
        <v>27</v>
      </c>
      <c r="D21" s="8" t="n">
        <v>1.2</v>
      </c>
      <c r="E21" s="8" t="s">
        <v>68</v>
      </c>
      <c r="F21" s="8" t="s">
        <v>208</v>
      </c>
      <c r="G21" s="8"/>
      <c r="H21" s="9"/>
      <c r="I21" s="9"/>
      <c r="J21" s="9"/>
    </row>
    <row r="22" customFormat="false" ht="23.85" hidden="false" customHeight="false" outlineLevel="0" collapsed="false">
      <c r="A22" s="8" t="s">
        <v>206</v>
      </c>
      <c r="B22" s="8" t="s">
        <v>195</v>
      </c>
      <c r="C22" s="8" t="s">
        <v>27</v>
      </c>
      <c r="D22" s="8" t="n">
        <v>40</v>
      </c>
      <c r="E22" s="8"/>
      <c r="F22" s="8" t="s">
        <v>43</v>
      </c>
      <c r="G22" s="8" t="s">
        <v>209</v>
      </c>
      <c r="H22" s="9"/>
      <c r="I22" s="9"/>
      <c r="J22" s="9"/>
    </row>
    <row r="23" customFormat="false" ht="23.85" hidden="false" customHeight="false" outlineLevel="0" collapsed="false">
      <c r="A23" s="8" t="s">
        <v>206</v>
      </c>
      <c r="B23" s="8" t="s">
        <v>146</v>
      </c>
      <c r="C23" s="8" t="s">
        <v>27</v>
      </c>
      <c r="D23" s="8" t="n">
        <v>5</v>
      </c>
      <c r="E23" s="8" t="s">
        <v>28</v>
      </c>
      <c r="F23" s="8" t="s">
        <v>39</v>
      </c>
      <c r="G23" s="8"/>
      <c r="H23" s="9"/>
      <c r="I23" s="9"/>
      <c r="J23" s="9"/>
    </row>
    <row r="24" customFormat="false" ht="23.85" hidden="false" customHeight="false" outlineLevel="0" collapsed="false">
      <c r="A24" s="10" t="s">
        <v>179</v>
      </c>
      <c r="B24" s="10" t="s">
        <v>210</v>
      </c>
      <c r="C24" s="10" t="s">
        <v>85</v>
      </c>
      <c r="D24" s="10" t="n">
        <v>20</v>
      </c>
      <c r="E24" s="10" t="s">
        <v>58</v>
      </c>
      <c r="F24" s="10" t="s">
        <v>75</v>
      </c>
      <c r="G24" s="10"/>
      <c r="H24" s="9"/>
      <c r="I24" s="9"/>
      <c r="J24" s="9"/>
    </row>
    <row r="25" customFormat="false" ht="23.85" hidden="false" customHeight="false" outlineLevel="0" collapsed="false">
      <c r="A25" s="10" t="s">
        <v>179</v>
      </c>
      <c r="B25" s="10" t="s">
        <v>211</v>
      </c>
      <c r="C25" s="10" t="s">
        <v>85</v>
      </c>
      <c r="D25" s="10" t="n">
        <v>3</v>
      </c>
      <c r="E25" s="10" t="s">
        <v>102</v>
      </c>
      <c r="F25" s="10" t="s">
        <v>212</v>
      </c>
      <c r="G25" s="10" t="s">
        <v>213</v>
      </c>
      <c r="H25" s="9"/>
      <c r="I25" s="9"/>
      <c r="J25" s="9"/>
    </row>
    <row r="26" customFormat="false" ht="23.85" hidden="false" customHeight="false" outlineLevel="0" collapsed="false">
      <c r="A26" s="10" t="s">
        <v>179</v>
      </c>
      <c r="B26" s="10" t="s">
        <v>214</v>
      </c>
      <c r="C26" s="10" t="s">
        <v>85</v>
      </c>
      <c r="D26" s="10" t="n">
        <v>25</v>
      </c>
      <c r="E26" s="10" t="s">
        <v>68</v>
      </c>
      <c r="F26" s="10" t="s">
        <v>75</v>
      </c>
      <c r="G26" s="10"/>
      <c r="H26" s="9"/>
      <c r="I26" s="9"/>
      <c r="J26" s="9"/>
    </row>
    <row r="27" customFormat="false" ht="23.85" hidden="false" customHeight="false" outlineLevel="0" collapsed="false">
      <c r="A27" s="10" t="s">
        <v>192</v>
      </c>
      <c r="B27" s="10" t="s">
        <v>210</v>
      </c>
      <c r="C27" s="10" t="s">
        <v>85</v>
      </c>
      <c r="D27" s="10" t="n">
        <v>20</v>
      </c>
      <c r="E27" s="10" t="s">
        <v>58</v>
      </c>
      <c r="F27" s="10" t="s">
        <v>75</v>
      </c>
      <c r="G27" s="10"/>
      <c r="H27" s="9"/>
      <c r="I27" s="9"/>
      <c r="J27" s="9"/>
    </row>
    <row r="28" customFormat="false" ht="23.85" hidden="false" customHeight="false" outlineLevel="0" collapsed="false">
      <c r="A28" s="10" t="s">
        <v>192</v>
      </c>
      <c r="B28" s="10" t="s">
        <v>211</v>
      </c>
      <c r="C28" s="10" t="s">
        <v>85</v>
      </c>
      <c r="D28" s="10" t="n">
        <v>4</v>
      </c>
      <c r="E28" s="10" t="s">
        <v>102</v>
      </c>
      <c r="F28" s="10" t="s">
        <v>212</v>
      </c>
      <c r="G28" s="10" t="s">
        <v>213</v>
      </c>
      <c r="H28" s="9"/>
      <c r="I28" s="9"/>
      <c r="J28" s="9"/>
    </row>
    <row r="29" customFormat="false" ht="23.85" hidden="false" customHeight="false" outlineLevel="0" collapsed="false">
      <c r="A29" s="10" t="s">
        <v>192</v>
      </c>
      <c r="B29" s="10" t="s">
        <v>214</v>
      </c>
      <c r="C29" s="10" t="s">
        <v>85</v>
      </c>
      <c r="D29" s="10" t="n">
        <v>25</v>
      </c>
      <c r="E29" s="10" t="s">
        <v>68</v>
      </c>
      <c r="F29" s="10" t="s">
        <v>75</v>
      </c>
      <c r="G29" s="10"/>
      <c r="H29" s="9"/>
      <c r="I29" s="9"/>
      <c r="J29" s="9"/>
    </row>
    <row r="30" customFormat="false" ht="15" hidden="false" customHeight="false" outlineLevel="0" collapsed="false">
      <c r="A30" s="10" t="s">
        <v>193</v>
      </c>
      <c r="B30" s="10" t="s">
        <v>215</v>
      </c>
      <c r="C30" s="10" t="s">
        <v>85</v>
      </c>
      <c r="D30" s="10" t="n">
        <v>3</v>
      </c>
      <c r="E30" s="10" t="s">
        <v>68</v>
      </c>
      <c r="F30" s="10" t="s">
        <v>216</v>
      </c>
      <c r="G30" s="10"/>
      <c r="H30" s="9"/>
      <c r="I30" s="9"/>
      <c r="J30" s="9"/>
    </row>
    <row r="31" customFormat="false" ht="23.85" hidden="false" customHeight="false" outlineLevel="0" collapsed="false">
      <c r="A31" s="10" t="s">
        <v>193</v>
      </c>
      <c r="B31" s="10" t="s">
        <v>217</v>
      </c>
      <c r="C31" s="10" t="s">
        <v>85</v>
      </c>
      <c r="D31" s="10" t="n">
        <v>25</v>
      </c>
      <c r="E31" s="10" t="s">
        <v>50</v>
      </c>
      <c r="F31" s="10" t="s">
        <v>75</v>
      </c>
      <c r="G31" s="10"/>
      <c r="H31" s="9"/>
      <c r="I31" s="9"/>
      <c r="J31" s="9"/>
    </row>
    <row r="32" customFormat="false" ht="23.85" hidden="false" customHeight="false" outlineLevel="0" collapsed="false">
      <c r="A32" s="10" t="s">
        <v>193</v>
      </c>
      <c r="B32" s="10" t="s">
        <v>218</v>
      </c>
      <c r="C32" s="10" t="s">
        <v>85</v>
      </c>
      <c r="D32" s="10" t="n">
        <v>75</v>
      </c>
      <c r="E32" s="10" t="s">
        <v>68</v>
      </c>
      <c r="F32" s="10" t="s">
        <v>65</v>
      </c>
      <c r="G32" s="10"/>
      <c r="H32" s="9"/>
      <c r="I32" s="9"/>
      <c r="J32" s="9"/>
    </row>
    <row r="33" customFormat="false" ht="15" hidden="false" customHeight="false" outlineLevel="0" collapsed="false">
      <c r="A33" s="10" t="s">
        <v>199</v>
      </c>
      <c r="B33" s="10" t="s">
        <v>156</v>
      </c>
      <c r="C33" s="10" t="s">
        <v>85</v>
      </c>
      <c r="D33" s="10" t="n">
        <v>15</v>
      </c>
      <c r="E33" s="10" t="s">
        <v>50</v>
      </c>
      <c r="F33" s="10" t="s">
        <v>75</v>
      </c>
      <c r="G33" s="10"/>
      <c r="H33" s="9"/>
      <c r="I33" s="9"/>
      <c r="J33" s="9"/>
    </row>
    <row r="34" customFormat="false" ht="23.85" hidden="false" customHeight="false" outlineLevel="0" collapsed="false">
      <c r="A34" s="10" t="s">
        <v>206</v>
      </c>
      <c r="B34" s="10" t="s">
        <v>219</v>
      </c>
      <c r="C34" s="10" t="s">
        <v>85</v>
      </c>
      <c r="D34" s="10" t="n">
        <v>3</v>
      </c>
      <c r="E34" s="10" t="s">
        <v>68</v>
      </c>
      <c r="F34" s="10" t="s">
        <v>75</v>
      </c>
      <c r="G34" s="10"/>
      <c r="H34" s="9"/>
      <c r="I34" s="9"/>
      <c r="J34" s="9"/>
    </row>
    <row r="35" customFormat="false" ht="68.65" hidden="false" customHeight="false" outlineLevel="0" collapsed="false">
      <c r="A35" s="10" t="s">
        <v>179</v>
      </c>
      <c r="B35" s="10" t="s">
        <v>220</v>
      </c>
      <c r="C35" s="10" t="s">
        <v>105</v>
      </c>
      <c r="D35" s="10" t="n">
        <v>0</v>
      </c>
      <c r="E35" s="10"/>
      <c r="F35" s="10"/>
      <c r="G35" s="10" t="s">
        <v>221</v>
      </c>
      <c r="H35" s="9"/>
      <c r="I35" s="9"/>
      <c r="J35" s="9"/>
    </row>
    <row r="36" customFormat="false" ht="23.85" hidden="false" customHeight="false" outlineLevel="0" collapsed="false">
      <c r="A36" s="10" t="s">
        <v>179</v>
      </c>
      <c r="B36" s="10" t="s">
        <v>222</v>
      </c>
      <c r="C36" s="10" t="s">
        <v>105</v>
      </c>
      <c r="D36" s="10" t="s">
        <v>223</v>
      </c>
      <c r="E36" s="10"/>
      <c r="F36" s="10"/>
      <c r="G36" s="10" t="s">
        <v>224</v>
      </c>
      <c r="H36" s="9"/>
      <c r="I36" s="9"/>
      <c r="J36" s="9"/>
    </row>
    <row r="37" customFormat="false" ht="68.65" hidden="false" customHeight="false" outlineLevel="0" collapsed="false">
      <c r="A37" s="10" t="s">
        <v>192</v>
      </c>
      <c r="B37" s="10" t="s">
        <v>220</v>
      </c>
      <c r="C37" s="10" t="s">
        <v>105</v>
      </c>
      <c r="D37" s="10" t="n">
        <v>0</v>
      </c>
      <c r="E37" s="10"/>
      <c r="F37" s="10"/>
      <c r="G37" s="10" t="s">
        <v>221</v>
      </c>
      <c r="H37" s="9"/>
      <c r="I37" s="9"/>
      <c r="J37" s="9"/>
    </row>
    <row r="38" customFormat="false" ht="23.85" hidden="false" customHeight="false" outlineLevel="0" collapsed="false">
      <c r="A38" s="10" t="s">
        <v>192</v>
      </c>
      <c r="B38" s="10" t="s">
        <v>222</v>
      </c>
      <c r="C38" s="10" t="s">
        <v>105</v>
      </c>
      <c r="D38" s="10" t="s">
        <v>223</v>
      </c>
      <c r="E38" s="10"/>
      <c r="F38" s="10"/>
      <c r="G38" s="10" t="s">
        <v>224</v>
      </c>
      <c r="H38" s="9"/>
      <c r="I38" s="9"/>
      <c r="J38" s="9"/>
    </row>
    <row r="39" customFormat="false" ht="23.85" hidden="false" customHeight="false" outlineLevel="0" collapsed="false">
      <c r="A39" s="10" t="s">
        <v>193</v>
      </c>
      <c r="B39" s="10" t="s">
        <v>225</v>
      </c>
      <c r="C39" s="10" t="s">
        <v>105</v>
      </c>
      <c r="D39" s="10" t="n">
        <v>2</v>
      </c>
      <c r="E39" s="10"/>
      <c r="F39" s="10"/>
      <c r="G39" s="10" t="s">
        <v>226</v>
      </c>
      <c r="H39" s="9"/>
      <c r="I39" s="9"/>
      <c r="J39" s="9"/>
    </row>
    <row r="40" customFormat="false" ht="35.05" hidden="false" customHeight="false" outlineLevel="0" collapsed="false">
      <c r="A40" s="10" t="s">
        <v>193</v>
      </c>
      <c r="B40" s="10" t="s">
        <v>227</v>
      </c>
      <c r="C40" s="10" t="s">
        <v>105</v>
      </c>
      <c r="D40" s="10" t="n">
        <v>1</v>
      </c>
      <c r="E40" s="10"/>
      <c r="F40" s="10"/>
      <c r="G40" s="10" t="s">
        <v>228</v>
      </c>
      <c r="H40" s="9"/>
      <c r="I40" s="9"/>
      <c r="J40" s="9"/>
    </row>
    <row r="41" customFormat="false" ht="46.25" hidden="false" customHeight="false" outlineLevel="0" collapsed="false">
      <c r="A41" s="10" t="s">
        <v>193</v>
      </c>
      <c r="B41" s="10" t="s">
        <v>229</v>
      </c>
      <c r="C41" s="10" t="s">
        <v>105</v>
      </c>
      <c r="D41" s="10" t="n">
        <v>0</v>
      </c>
      <c r="E41" s="10"/>
      <c r="F41" s="10"/>
      <c r="G41" s="10" t="s">
        <v>230</v>
      </c>
      <c r="H41" s="9"/>
      <c r="I41" s="9"/>
      <c r="J41" s="9"/>
    </row>
    <row r="42" customFormat="false" ht="23.85" hidden="false" customHeight="false" outlineLevel="0" collapsed="false">
      <c r="A42" s="10" t="s">
        <v>193</v>
      </c>
      <c r="B42" s="10" t="s">
        <v>231</v>
      </c>
      <c r="C42" s="10" t="s">
        <v>105</v>
      </c>
      <c r="D42" s="10" t="n">
        <v>250</v>
      </c>
      <c r="E42" s="10"/>
      <c r="F42" s="10"/>
      <c r="G42" s="10" t="s">
        <v>232</v>
      </c>
      <c r="H42" s="9"/>
      <c r="I42" s="9"/>
      <c r="J42" s="9"/>
    </row>
    <row r="43" customFormat="false" ht="23.85" hidden="false" customHeight="false" outlineLevel="0" collapsed="false">
      <c r="A43" s="10" t="s">
        <v>193</v>
      </c>
      <c r="B43" s="10" t="s">
        <v>233</v>
      </c>
      <c r="C43" s="10" t="s">
        <v>105</v>
      </c>
      <c r="D43" s="10" t="n">
        <v>60</v>
      </c>
      <c r="E43" s="10"/>
      <c r="F43" s="10"/>
      <c r="G43" s="10" t="s">
        <v>234</v>
      </c>
      <c r="H43" s="9"/>
      <c r="I43" s="9"/>
      <c r="J43" s="9"/>
    </row>
    <row r="44" customFormat="false" ht="23.85" hidden="false" customHeight="false" outlineLevel="0" collapsed="false">
      <c r="A44" s="10" t="s">
        <v>193</v>
      </c>
      <c r="B44" s="10" t="s">
        <v>235</v>
      </c>
      <c r="C44" s="10" t="s">
        <v>105</v>
      </c>
      <c r="D44" s="10" t="s">
        <v>108</v>
      </c>
      <c r="E44" s="10"/>
      <c r="F44" s="10"/>
      <c r="G44" s="10" t="s">
        <v>236</v>
      </c>
      <c r="H44" s="9"/>
      <c r="I44" s="9"/>
      <c r="J44" s="9"/>
    </row>
    <row r="45" customFormat="false" ht="57.45" hidden="false" customHeight="false" outlineLevel="0" collapsed="false">
      <c r="A45" s="10" t="s">
        <v>199</v>
      </c>
      <c r="B45" s="10" t="s">
        <v>237</v>
      </c>
      <c r="C45" s="10" t="s">
        <v>105</v>
      </c>
      <c r="D45" s="10" t="n">
        <v>0</v>
      </c>
      <c r="E45" s="10"/>
      <c r="F45" s="10"/>
      <c r="G45" s="10" t="s">
        <v>238</v>
      </c>
      <c r="H45" s="9"/>
      <c r="I45" s="9"/>
      <c r="J45" s="9"/>
    </row>
    <row r="46" customFormat="false" ht="23.85" hidden="false" customHeight="false" outlineLevel="0" collapsed="false">
      <c r="A46" s="10" t="s">
        <v>206</v>
      </c>
      <c r="B46" s="10" t="s">
        <v>239</v>
      </c>
      <c r="C46" s="10" t="s">
        <v>105</v>
      </c>
      <c r="D46" s="10" t="n">
        <v>2.5</v>
      </c>
      <c r="E46" s="10"/>
      <c r="F46" s="10"/>
      <c r="G46" s="10" t="s">
        <v>240</v>
      </c>
      <c r="H46" s="9"/>
      <c r="I46" s="9"/>
      <c r="J46" s="9"/>
    </row>
    <row r="47" customFormat="false" ht="23.85" hidden="false" customHeight="false" outlineLevel="0" collapsed="false">
      <c r="A47" s="10" t="s">
        <v>206</v>
      </c>
      <c r="B47" s="10" t="s">
        <v>241</v>
      </c>
      <c r="C47" s="10" t="s">
        <v>105</v>
      </c>
      <c r="D47" s="10" t="n">
        <v>50</v>
      </c>
      <c r="E47" s="10"/>
      <c r="F47" s="10"/>
      <c r="G47" s="10" t="s">
        <v>242</v>
      </c>
      <c r="H47" s="9"/>
      <c r="I47" s="9"/>
      <c r="J47" s="9"/>
    </row>
  </sheetData>
  <autoFilter ref="A4:J47"/>
  <dataValidations count="1">
    <dataValidation allowBlank="true" errorStyle="stop" operator="between" showDropDown="false" showErrorMessage="false" showInputMessage="false" sqref="H5:H47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15" hidden="false" customHeight="false" outlineLevel="0" collapsed="false">
      <c r="A5" s="8" t="s">
        <v>243</v>
      </c>
      <c r="B5" s="8" t="s">
        <v>244</v>
      </c>
      <c r="C5" s="8" t="s">
        <v>27</v>
      </c>
      <c r="D5" s="8" t="n">
        <v>20</v>
      </c>
      <c r="E5" s="8"/>
      <c r="F5" s="8" t="s">
        <v>43</v>
      </c>
      <c r="G5" s="8" t="s">
        <v>245</v>
      </c>
      <c r="H5" s="9"/>
      <c r="I5" s="9"/>
      <c r="J5" s="9"/>
    </row>
    <row r="6" customFormat="false" ht="23.85" hidden="false" customHeight="false" outlineLevel="0" collapsed="false">
      <c r="A6" s="8" t="s">
        <v>243</v>
      </c>
      <c r="B6" s="8" t="s">
        <v>246</v>
      </c>
      <c r="C6" s="8" t="s">
        <v>27</v>
      </c>
      <c r="D6" s="8" t="n">
        <v>75</v>
      </c>
      <c r="E6" s="8" t="s">
        <v>102</v>
      </c>
      <c r="F6" s="8" t="s">
        <v>75</v>
      </c>
      <c r="G6" s="8"/>
      <c r="H6" s="9"/>
      <c r="I6" s="9"/>
      <c r="J6" s="9"/>
    </row>
    <row r="7" customFormat="false" ht="23.85" hidden="false" customHeight="false" outlineLevel="0" collapsed="false">
      <c r="A7" s="8" t="s">
        <v>243</v>
      </c>
      <c r="B7" s="8" t="s">
        <v>247</v>
      </c>
      <c r="C7" s="8" t="s">
        <v>27</v>
      </c>
      <c r="D7" s="8" t="n">
        <v>10</v>
      </c>
      <c r="E7" s="8" t="s">
        <v>28</v>
      </c>
      <c r="F7" s="8" t="s">
        <v>39</v>
      </c>
      <c r="G7" s="8"/>
      <c r="H7" s="9"/>
      <c r="I7" s="9"/>
      <c r="J7" s="9"/>
    </row>
    <row r="8" customFormat="false" ht="15" hidden="false" customHeight="false" outlineLevel="0" collapsed="false">
      <c r="A8" s="8" t="s">
        <v>243</v>
      </c>
      <c r="B8" s="8" t="s">
        <v>248</v>
      </c>
      <c r="C8" s="8" t="s">
        <v>27</v>
      </c>
      <c r="D8" s="8"/>
      <c r="E8" s="8" t="s">
        <v>28</v>
      </c>
      <c r="F8" s="8" t="s">
        <v>29</v>
      </c>
      <c r="G8" s="8" t="s">
        <v>249</v>
      </c>
      <c r="H8" s="9"/>
      <c r="I8" s="9"/>
      <c r="J8" s="9"/>
    </row>
    <row r="9" customFormat="false" ht="23.85" hidden="false" customHeight="false" outlineLevel="0" collapsed="false">
      <c r="A9" s="8" t="s">
        <v>250</v>
      </c>
      <c r="B9" s="8" t="s">
        <v>251</v>
      </c>
      <c r="C9" s="8" t="s">
        <v>27</v>
      </c>
      <c r="D9" s="8" t="n">
        <v>10</v>
      </c>
      <c r="E9" s="8" t="s">
        <v>58</v>
      </c>
      <c r="F9" s="8" t="s">
        <v>43</v>
      </c>
      <c r="G9" s="8"/>
      <c r="H9" s="9"/>
      <c r="I9" s="9"/>
      <c r="J9" s="9"/>
    </row>
    <row r="10" customFormat="false" ht="23.85" hidden="false" customHeight="false" outlineLevel="0" collapsed="false">
      <c r="A10" s="8" t="s">
        <v>250</v>
      </c>
      <c r="B10" s="8" t="s">
        <v>252</v>
      </c>
      <c r="C10" s="8" t="s">
        <v>27</v>
      </c>
      <c r="D10" s="8" t="n">
        <v>20</v>
      </c>
      <c r="E10" s="8"/>
      <c r="F10" s="8" t="s">
        <v>43</v>
      </c>
      <c r="G10" s="8"/>
      <c r="H10" s="9"/>
      <c r="I10" s="9"/>
      <c r="J10" s="9"/>
    </row>
    <row r="11" customFormat="false" ht="23.85" hidden="false" customHeight="false" outlineLevel="0" collapsed="false">
      <c r="A11" s="8" t="s">
        <v>250</v>
      </c>
      <c r="B11" s="8" t="s">
        <v>146</v>
      </c>
      <c r="C11" s="8" t="s">
        <v>27</v>
      </c>
      <c r="D11" s="8" t="n">
        <v>5</v>
      </c>
      <c r="E11" s="8" t="s">
        <v>28</v>
      </c>
      <c r="F11" s="8" t="s">
        <v>39</v>
      </c>
      <c r="G11" s="8"/>
      <c r="H11" s="9"/>
      <c r="I11" s="9"/>
      <c r="J11" s="9"/>
    </row>
    <row r="12" customFormat="false" ht="15" hidden="false" customHeight="false" outlineLevel="0" collapsed="false">
      <c r="A12" s="10" t="s">
        <v>243</v>
      </c>
      <c r="B12" s="10" t="s">
        <v>253</v>
      </c>
      <c r="C12" s="10" t="s">
        <v>85</v>
      </c>
      <c r="D12" s="10" t="n">
        <v>12</v>
      </c>
      <c r="E12" s="10" t="s">
        <v>58</v>
      </c>
      <c r="F12" s="10" t="s">
        <v>254</v>
      </c>
      <c r="G12" s="10"/>
      <c r="H12" s="9"/>
      <c r="I12" s="9"/>
      <c r="J12" s="9"/>
    </row>
    <row r="13" customFormat="false" ht="15" hidden="false" customHeight="false" outlineLevel="0" collapsed="false">
      <c r="A13" s="10" t="s">
        <v>243</v>
      </c>
      <c r="B13" s="10" t="s">
        <v>164</v>
      </c>
      <c r="C13" s="10" t="s">
        <v>85</v>
      </c>
      <c r="D13" s="10" t="n">
        <v>2.5</v>
      </c>
      <c r="E13" s="10" t="s">
        <v>68</v>
      </c>
      <c r="F13" s="10" t="s">
        <v>165</v>
      </c>
      <c r="G13" s="10"/>
      <c r="H13" s="9"/>
      <c r="I13" s="9"/>
      <c r="J13" s="9"/>
    </row>
    <row r="14" customFormat="false" ht="23.85" hidden="false" customHeight="false" outlineLevel="0" collapsed="false">
      <c r="A14" s="10" t="s">
        <v>243</v>
      </c>
      <c r="B14" s="10" t="s">
        <v>255</v>
      </c>
      <c r="C14" s="10" t="s">
        <v>85</v>
      </c>
      <c r="D14" s="10" t="n">
        <v>2.4</v>
      </c>
      <c r="E14" s="10" t="s">
        <v>68</v>
      </c>
      <c r="F14" s="10" t="s">
        <v>216</v>
      </c>
      <c r="G14" s="10"/>
      <c r="H14" s="9"/>
      <c r="I14" s="9"/>
      <c r="J14" s="9"/>
    </row>
    <row r="15" customFormat="false" ht="23.85" hidden="false" customHeight="false" outlineLevel="0" collapsed="false">
      <c r="A15" s="10" t="s">
        <v>250</v>
      </c>
      <c r="B15" s="10" t="s">
        <v>256</v>
      </c>
      <c r="C15" s="10" t="s">
        <v>85</v>
      </c>
      <c r="D15" s="10" t="n">
        <v>5</v>
      </c>
      <c r="E15" s="10" t="s">
        <v>68</v>
      </c>
      <c r="F15" s="10" t="s">
        <v>75</v>
      </c>
      <c r="G15" s="10"/>
      <c r="H15" s="9"/>
      <c r="I15" s="9"/>
      <c r="J15" s="9"/>
    </row>
    <row r="16" customFormat="false" ht="23.85" hidden="false" customHeight="false" outlineLevel="0" collapsed="false">
      <c r="A16" s="10" t="s">
        <v>250</v>
      </c>
      <c r="B16" s="10" t="s">
        <v>257</v>
      </c>
      <c r="C16" s="10" t="s">
        <v>85</v>
      </c>
      <c r="D16" s="10" t="n">
        <v>1.6875</v>
      </c>
      <c r="E16" s="10" t="s">
        <v>102</v>
      </c>
      <c r="F16" s="10" t="s">
        <v>258</v>
      </c>
      <c r="G16" s="10" t="s">
        <v>259</v>
      </c>
      <c r="H16" s="9"/>
      <c r="I16" s="9"/>
      <c r="J16" s="9"/>
    </row>
    <row r="17" customFormat="false" ht="15" hidden="false" customHeight="false" outlineLevel="0" collapsed="false">
      <c r="A17" s="10" t="s">
        <v>243</v>
      </c>
      <c r="B17" s="10" t="s">
        <v>169</v>
      </c>
      <c r="C17" s="10" t="s">
        <v>105</v>
      </c>
      <c r="D17" s="10" t="n">
        <v>0</v>
      </c>
      <c r="E17" s="10"/>
      <c r="F17" s="10"/>
      <c r="G17" s="10" t="s">
        <v>260</v>
      </c>
      <c r="H17" s="9"/>
      <c r="I17" s="9"/>
      <c r="J17" s="9"/>
    </row>
    <row r="18" customFormat="false" ht="23.85" hidden="false" customHeight="false" outlineLevel="0" collapsed="false">
      <c r="A18" s="10" t="s">
        <v>243</v>
      </c>
      <c r="B18" s="10" t="s">
        <v>261</v>
      </c>
      <c r="C18" s="10" t="s">
        <v>105</v>
      </c>
      <c r="D18" s="10" t="n">
        <v>0</v>
      </c>
      <c r="E18" s="10"/>
      <c r="F18" s="10"/>
      <c r="G18" s="10" t="s">
        <v>262</v>
      </c>
      <c r="H18" s="9"/>
      <c r="I18" s="9"/>
      <c r="J18" s="9"/>
    </row>
    <row r="19" customFormat="false" ht="35.05" hidden="false" customHeight="false" outlineLevel="0" collapsed="false">
      <c r="A19" s="10" t="s">
        <v>243</v>
      </c>
      <c r="B19" s="10" t="s">
        <v>263</v>
      </c>
      <c r="C19" s="10" t="s">
        <v>105</v>
      </c>
      <c r="D19" s="10" t="n">
        <v>0</v>
      </c>
      <c r="E19" s="10"/>
      <c r="F19" s="10"/>
      <c r="G19" s="10" t="s">
        <v>264</v>
      </c>
      <c r="H19" s="9"/>
      <c r="I19" s="9"/>
      <c r="J19" s="9"/>
    </row>
    <row r="20" customFormat="false" ht="15" hidden="false" customHeight="false" outlineLevel="0" collapsed="false">
      <c r="A20" s="10" t="s">
        <v>243</v>
      </c>
      <c r="B20" s="10" t="s">
        <v>265</v>
      </c>
      <c r="C20" s="10" t="s">
        <v>105</v>
      </c>
      <c r="D20" s="10" t="n">
        <v>50</v>
      </c>
      <c r="E20" s="10"/>
      <c r="F20" s="10"/>
      <c r="G20" s="10" t="s">
        <v>266</v>
      </c>
      <c r="H20" s="9"/>
      <c r="I20" s="9"/>
      <c r="J20" s="9"/>
    </row>
    <row r="21" customFormat="false" ht="23.85" hidden="false" customHeight="false" outlineLevel="0" collapsed="false">
      <c r="A21" s="10" t="s">
        <v>243</v>
      </c>
      <c r="B21" s="10" t="s">
        <v>267</v>
      </c>
      <c r="C21" s="10" t="s">
        <v>105</v>
      </c>
      <c r="D21" s="10" t="s">
        <v>108</v>
      </c>
      <c r="E21" s="10"/>
      <c r="F21" s="10"/>
      <c r="G21" s="10"/>
      <c r="H21" s="9"/>
      <c r="I21" s="9"/>
      <c r="J21" s="9"/>
    </row>
    <row r="22" customFormat="false" ht="23.85" hidden="false" customHeight="false" outlineLevel="0" collapsed="false">
      <c r="A22" s="10" t="s">
        <v>250</v>
      </c>
      <c r="B22" s="10" t="s">
        <v>268</v>
      </c>
      <c r="C22" s="10" t="s">
        <v>105</v>
      </c>
      <c r="D22" s="10" t="n">
        <v>50</v>
      </c>
      <c r="E22" s="10"/>
      <c r="F22" s="10"/>
      <c r="G22" s="10" t="s">
        <v>266</v>
      </c>
      <c r="H22" s="9"/>
      <c r="I22" s="9"/>
      <c r="J22" s="9"/>
    </row>
  </sheetData>
  <autoFilter ref="A4:J22"/>
  <dataValidations count="1">
    <dataValidation allowBlank="true" errorStyle="stop" operator="between" showDropDown="false" showErrorMessage="false" showInputMessage="false" sqref="H5:H22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23.85" hidden="false" customHeight="false" outlineLevel="0" collapsed="false">
      <c r="A5" s="8" t="s">
        <v>269</v>
      </c>
      <c r="B5" s="8" t="s">
        <v>270</v>
      </c>
      <c r="C5" s="8" t="s">
        <v>27</v>
      </c>
      <c r="D5" s="8" t="n">
        <v>1.8</v>
      </c>
      <c r="E5" s="8"/>
      <c r="F5" s="8" t="s">
        <v>54</v>
      </c>
      <c r="G5" s="8" t="s">
        <v>271</v>
      </c>
      <c r="H5" s="9"/>
      <c r="I5" s="9"/>
      <c r="J5" s="9"/>
    </row>
    <row r="6" customFormat="false" ht="23.85" hidden="false" customHeight="false" outlineLevel="0" collapsed="false">
      <c r="A6" s="8" t="s">
        <v>269</v>
      </c>
      <c r="B6" s="8" t="s">
        <v>272</v>
      </c>
      <c r="C6" s="8" t="s">
        <v>27</v>
      </c>
      <c r="D6" s="8" t="n">
        <v>50</v>
      </c>
      <c r="E6" s="8" t="s">
        <v>28</v>
      </c>
      <c r="F6" s="8" t="s">
        <v>59</v>
      </c>
      <c r="G6" s="8"/>
      <c r="H6" s="9"/>
      <c r="I6" s="9"/>
      <c r="J6" s="9"/>
    </row>
    <row r="7" customFormat="false" ht="15" hidden="false" customHeight="false" outlineLevel="0" collapsed="false">
      <c r="A7" s="8" t="s">
        <v>273</v>
      </c>
      <c r="B7" s="8" t="s">
        <v>274</v>
      </c>
      <c r="C7" s="8" t="s">
        <v>27</v>
      </c>
      <c r="D7" s="8" t="n">
        <v>1</v>
      </c>
      <c r="E7" s="8"/>
      <c r="F7" s="8" t="s">
        <v>275</v>
      </c>
      <c r="G7" s="8"/>
      <c r="H7" s="9"/>
      <c r="I7" s="9"/>
      <c r="J7" s="9"/>
    </row>
    <row r="8" customFormat="false" ht="23.85" hidden="false" customHeight="false" outlineLevel="0" collapsed="false">
      <c r="A8" s="10" t="s">
        <v>276</v>
      </c>
      <c r="B8" s="10" t="s">
        <v>277</v>
      </c>
      <c r="C8" s="10" t="s">
        <v>85</v>
      </c>
      <c r="D8" s="10" t="n">
        <v>19</v>
      </c>
      <c r="E8" s="10" t="s">
        <v>278</v>
      </c>
      <c r="F8" s="10" t="s">
        <v>279</v>
      </c>
      <c r="G8" s="10"/>
      <c r="H8" s="9"/>
      <c r="I8" s="9"/>
      <c r="J8" s="9"/>
    </row>
    <row r="9" customFormat="false" ht="35.05" hidden="false" customHeight="false" outlineLevel="0" collapsed="false">
      <c r="A9" s="10" t="s">
        <v>276</v>
      </c>
      <c r="B9" s="10" t="s">
        <v>280</v>
      </c>
      <c r="C9" s="10" t="s">
        <v>85</v>
      </c>
      <c r="D9" s="10" t="n">
        <v>-7</v>
      </c>
      <c r="E9" s="10" t="s">
        <v>278</v>
      </c>
      <c r="F9" s="10" t="s">
        <v>281</v>
      </c>
      <c r="G9" s="10" t="s">
        <v>282</v>
      </c>
      <c r="H9" s="9"/>
      <c r="I9" s="9"/>
      <c r="J9" s="9"/>
    </row>
    <row r="10" customFormat="false" ht="23.85" hidden="false" customHeight="false" outlineLevel="0" collapsed="false">
      <c r="A10" s="10" t="s">
        <v>276</v>
      </c>
      <c r="B10" s="10" t="s">
        <v>283</v>
      </c>
      <c r="C10" s="10" t="s">
        <v>85</v>
      </c>
      <c r="D10" s="10" t="n">
        <v>1000</v>
      </c>
      <c r="E10" s="10" t="s">
        <v>284</v>
      </c>
      <c r="F10" s="10" t="s">
        <v>158</v>
      </c>
      <c r="G10" s="10"/>
      <c r="H10" s="9"/>
      <c r="I10" s="9"/>
      <c r="J10" s="9"/>
    </row>
    <row r="11" customFormat="false" ht="23.85" hidden="false" customHeight="false" outlineLevel="0" collapsed="false">
      <c r="A11" s="10" t="s">
        <v>273</v>
      </c>
      <c r="B11" s="10" t="s">
        <v>285</v>
      </c>
      <c r="C11" s="10" t="s">
        <v>85</v>
      </c>
      <c r="D11" s="10" t="n">
        <v>1</v>
      </c>
      <c r="E11" s="10"/>
      <c r="F11" s="10" t="s">
        <v>275</v>
      </c>
      <c r="G11" s="10"/>
      <c r="H11" s="9"/>
      <c r="I11" s="9"/>
      <c r="J11" s="9"/>
    </row>
    <row r="12" customFormat="false" ht="23.85" hidden="false" customHeight="false" outlineLevel="0" collapsed="false">
      <c r="A12" s="10" t="s">
        <v>286</v>
      </c>
      <c r="B12" s="10" t="s">
        <v>287</v>
      </c>
      <c r="C12" s="10" t="s">
        <v>85</v>
      </c>
      <c r="D12" s="10" t="n">
        <v>1</v>
      </c>
      <c r="E12" s="10"/>
      <c r="F12" s="10" t="s">
        <v>29</v>
      </c>
      <c r="G12" s="10"/>
      <c r="H12" s="9"/>
      <c r="I12" s="9"/>
      <c r="J12" s="9"/>
    </row>
    <row r="13" customFormat="false" ht="23.85" hidden="false" customHeight="false" outlineLevel="0" collapsed="false">
      <c r="A13" s="10" t="s">
        <v>286</v>
      </c>
      <c r="B13" s="10" t="s">
        <v>288</v>
      </c>
      <c r="C13" s="10" t="s">
        <v>85</v>
      </c>
      <c r="D13" s="10" t="n">
        <v>1</v>
      </c>
      <c r="E13" s="10"/>
      <c r="F13" s="10" t="s">
        <v>289</v>
      </c>
      <c r="G13" s="10"/>
      <c r="H13" s="9"/>
      <c r="I13" s="9"/>
      <c r="J13" s="9"/>
    </row>
    <row r="14" customFormat="false" ht="23.85" hidden="false" customHeight="false" outlineLevel="0" collapsed="false">
      <c r="A14" s="10" t="s">
        <v>286</v>
      </c>
      <c r="B14" s="10" t="s">
        <v>290</v>
      </c>
      <c r="C14" s="10" t="s">
        <v>85</v>
      </c>
      <c r="D14" s="10" t="n">
        <v>1</v>
      </c>
      <c r="E14" s="10"/>
      <c r="F14" s="10" t="s">
        <v>289</v>
      </c>
      <c r="G14" s="10"/>
      <c r="H14" s="9"/>
      <c r="I14" s="9"/>
      <c r="J14" s="9"/>
    </row>
    <row r="15" customFormat="false" ht="23.85" hidden="false" customHeight="false" outlineLevel="0" collapsed="false">
      <c r="A15" s="10" t="s">
        <v>286</v>
      </c>
      <c r="B15" s="10" t="s">
        <v>291</v>
      </c>
      <c r="C15" s="10" t="s">
        <v>85</v>
      </c>
      <c r="D15" s="10" t="n">
        <v>0</v>
      </c>
      <c r="E15" s="10"/>
      <c r="F15" s="10" t="s">
        <v>289</v>
      </c>
      <c r="G15" s="10"/>
      <c r="H15" s="9"/>
      <c r="I15" s="9"/>
      <c r="J15" s="9"/>
    </row>
    <row r="16" customFormat="false" ht="23.85" hidden="false" customHeight="false" outlineLevel="0" collapsed="false">
      <c r="A16" s="10" t="s">
        <v>286</v>
      </c>
      <c r="B16" s="10" t="s">
        <v>292</v>
      </c>
      <c r="C16" s="10" t="s">
        <v>85</v>
      </c>
      <c r="D16" s="10" t="n">
        <v>1</v>
      </c>
      <c r="E16" s="10"/>
      <c r="F16" s="10" t="s">
        <v>289</v>
      </c>
      <c r="G16" s="10"/>
      <c r="H16" s="9"/>
      <c r="I16" s="9"/>
      <c r="J16" s="9"/>
    </row>
    <row r="17" customFormat="false" ht="23.85" hidden="false" customHeight="false" outlineLevel="0" collapsed="false">
      <c r="A17" s="10" t="s">
        <v>286</v>
      </c>
      <c r="B17" s="10" t="s">
        <v>293</v>
      </c>
      <c r="C17" s="10" t="s">
        <v>85</v>
      </c>
      <c r="D17" s="10" t="n">
        <v>1</v>
      </c>
      <c r="E17" s="10"/>
      <c r="F17" s="10" t="s">
        <v>275</v>
      </c>
      <c r="G17" s="10"/>
      <c r="H17" s="9"/>
      <c r="I17" s="9"/>
      <c r="J17" s="9"/>
    </row>
    <row r="18" customFormat="false" ht="23.85" hidden="false" customHeight="false" outlineLevel="0" collapsed="false">
      <c r="A18" s="10" t="s">
        <v>286</v>
      </c>
      <c r="B18" s="10" t="s">
        <v>294</v>
      </c>
      <c r="C18" s="10" t="s">
        <v>85</v>
      </c>
      <c r="D18" s="10" t="n">
        <v>1</v>
      </c>
      <c r="E18" s="10"/>
      <c r="F18" s="10" t="s">
        <v>275</v>
      </c>
      <c r="G18" s="10"/>
      <c r="H18" s="9"/>
      <c r="I18" s="9"/>
      <c r="J18" s="9"/>
    </row>
    <row r="19" customFormat="false" ht="23.85" hidden="false" customHeight="false" outlineLevel="0" collapsed="false">
      <c r="A19" s="10" t="s">
        <v>286</v>
      </c>
      <c r="B19" s="10" t="s">
        <v>295</v>
      </c>
      <c r="C19" s="10" t="s">
        <v>85</v>
      </c>
      <c r="D19" s="10" t="n">
        <v>6</v>
      </c>
      <c r="E19" s="10" t="s">
        <v>68</v>
      </c>
      <c r="F19" s="10" t="s">
        <v>296</v>
      </c>
      <c r="G19" s="10"/>
      <c r="H19" s="9"/>
      <c r="I19" s="9"/>
      <c r="J19" s="9"/>
    </row>
    <row r="20" customFormat="false" ht="23.85" hidden="false" customHeight="false" outlineLevel="0" collapsed="false">
      <c r="A20" s="10" t="s">
        <v>286</v>
      </c>
      <c r="B20" s="10" t="s">
        <v>297</v>
      </c>
      <c r="C20" s="10" t="s">
        <v>85</v>
      </c>
      <c r="D20" s="10" t="n">
        <v>4</v>
      </c>
      <c r="E20" s="10" t="s">
        <v>68</v>
      </c>
      <c r="F20" s="10" t="s">
        <v>296</v>
      </c>
      <c r="G20" s="10"/>
      <c r="H20" s="9"/>
      <c r="I20" s="9"/>
      <c r="J20" s="9"/>
    </row>
    <row r="21" customFormat="false" ht="23.85" hidden="false" customHeight="false" outlineLevel="0" collapsed="false">
      <c r="A21" s="10" t="s">
        <v>286</v>
      </c>
      <c r="B21" s="10" t="s">
        <v>298</v>
      </c>
      <c r="C21" s="10" t="s">
        <v>85</v>
      </c>
      <c r="D21" s="10" t="n">
        <v>50</v>
      </c>
      <c r="E21" s="10" t="s">
        <v>68</v>
      </c>
      <c r="F21" s="10" t="s">
        <v>65</v>
      </c>
      <c r="G21" s="10"/>
      <c r="H21" s="9"/>
      <c r="I21" s="9"/>
      <c r="J21" s="9"/>
    </row>
    <row r="22" customFormat="false" ht="23.85" hidden="false" customHeight="false" outlineLevel="0" collapsed="false">
      <c r="A22" s="10" t="s">
        <v>286</v>
      </c>
      <c r="B22" s="10" t="s">
        <v>299</v>
      </c>
      <c r="C22" s="10" t="s">
        <v>85</v>
      </c>
      <c r="D22" s="10" t="n">
        <v>4</v>
      </c>
      <c r="E22" s="10" t="s">
        <v>68</v>
      </c>
      <c r="F22" s="10" t="s">
        <v>75</v>
      </c>
      <c r="G22" s="10"/>
      <c r="H22" s="9"/>
      <c r="I22" s="9"/>
      <c r="J22" s="9"/>
    </row>
    <row r="23" customFormat="false" ht="57.45" hidden="false" customHeight="false" outlineLevel="0" collapsed="false">
      <c r="A23" s="10" t="s">
        <v>276</v>
      </c>
      <c r="B23" s="10" t="s">
        <v>300</v>
      </c>
      <c r="C23" s="10" t="s">
        <v>105</v>
      </c>
      <c r="D23" s="10" t="n">
        <v>1</v>
      </c>
      <c r="E23" s="10"/>
      <c r="F23" s="10"/>
      <c r="G23" s="10" t="s">
        <v>301</v>
      </c>
      <c r="H23" s="9"/>
      <c r="I23" s="9"/>
      <c r="J23" s="9"/>
    </row>
    <row r="24" customFormat="false" ht="35.05" hidden="false" customHeight="false" outlineLevel="0" collapsed="false">
      <c r="A24" s="10" t="s">
        <v>273</v>
      </c>
      <c r="B24" s="10" t="s">
        <v>302</v>
      </c>
      <c r="C24" s="10" t="s">
        <v>105</v>
      </c>
      <c r="D24" s="10" t="n">
        <v>4</v>
      </c>
      <c r="E24" s="10"/>
      <c r="F24" s="10"/>
      <c r="G24" s="10" t="s">
        <v>303</v>
      </c>
      <c r="H24" s="9"/>
      <c r="I24" s="9"/>
      <c r="J24" s="9"/>
    </row>
    <row r="25" customFormat="false" ht="23.85" hidden="false" customHeight="false" outlineLevel="0" collapsed="false">
      <c r="A25" s="10" t="s">
        <v>273</v>
      </c>
      <c r="B25" s="10" t="s">
        <v>304</v>
      </c>
      <c r="C25" s="10" t="s">
        <v>105</v>
      </c>
      <c r="D25" s="10" t="s">
        <v>108</v>
      </c>
      <c r="E25" s="10"/>
      <c r="F25" s="10"/>
      <c r="G25" s="10" t="s">
        <v>305</v>
      </c>
      <c r="H25" s="9"/>
      <c r="I25" s="9"/>
      <c r="J25" s="9"/>
    </row>
  </sheetData>
  <autoFilter ref="A4:J25"/>
  <dataValidations count="1">
    <dataValidation allowBlank="true" errorStyle="stop" operator="between" showDropDown="false" showErrorMessage="false" showInputMessage="false" sqref="H5:H25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23.85" hidden="false" customHeight="false" outlineLevel="0" collapsed="false">
      <c r="A5" s="8" t="s">
        <v>306</v>
      </c>
      <c r="B5" s="8" t="s">
        <v>307</v>
      </c>
      <c r="C5" s="8" t="s">
        <v>27</v>
      </c>
      <c r="D5" s="8" t="n">
        <v>6</v>
      </c>
      <c r="E5" s="8" t="s">
        <v>68</v>
      </c>
      <c r="F5" s="8" t="s">
        <v>308</v>
      </c>
      <c r="G5" s="8" t="s">
        <v>309</v>
      </c>
      <c r="H5" s="9"/>
      <c r="I5" s="9"/>
      <c r="J5" s="9"/>
    </row>
    <row r="6" customFormat="false" ht="15" hidden="false" customHeight="false" outlineLevel="0" collapsed="false">
      <c r="A6" s="10" t="s">
        <v>306</v>
      </c>
      <c r="B6" s="10" t="s">
        <v>310</v>
      </c>
      <c r="C6" s="10" t="s">
        <v>85</v>
      </c>
      <c r="D6" s="10" t="n">
        <v>10</v>
      </c>
      <c r="E6" s="10"/>
      <c r="F6" s="10" t="s">
        <v>311</v>
      </c>
      <c r="G6" s="10"/>
      <c r="H6" s="9"/>
      <c r="I6" s="9"/>
      <c r="J6" s="9"/>
    </row>
    <row r="7" customFormat="false" ht="15" hidden="false" customHeight="false" outlineLevel="0" collapsed="false">
      <c r="A7" s="10" t="s">
        <v>306</v>
      </c>
      <c r="B7" s="10" t="s">
        <v>312</v>
      </c>
      <c r="C7" s="10" t="s">
        <v>85</v>
      </c>
      <c r="D7" s="10" t="n">
        <v>5</v>
      </c>
      <c r="E7" s="10"/>
      <c r="F7" s="10" t="s">
        <v>59</v>
      </c>
      <c r="G7" s="10"/>
      <c r="H7" s="9"/>
      <c r="I7" s="9"/>
      <c r="J7" s="9"/>
    </row>
    <row r="8" customFormat="false" ht="15" hidden="false" customHeight="false" outlineLevel="0" collapsed="false">
      <c r="A8" s="10" t="s">
        <v>306</v>
      </c>
      <c r="B8" s="10" t="s">
        <v>313</v>
      </c>
      <c r="C8" s="10" t="s">
        <v>85</v>
      </c>
      <c r="D8" s="10" t="n">
        <v>5</v>
      </c>
      <c r="E8" s="10"/>
      <c r="F8" s="10" t="s">
        <v>59</v>
      </c>
      <c r="G8" s="10"/>
      <c r="H8" s="9"/>
      <c r="I8" s="9"/>
      <c r="J8" s="9"/>
    </row>
    <row r="9" customFormat="false" ht="23.85" hidden="false" customHeight="false" outlineLevel="0" collapsed="false">
      <c r="A9" s="10" t="s">
        <v>306</v>
      </c>
      <c r="B9" s="10" t="s">
        <v>314</v>
      </c>
      <c r="C9" s="10" t="s">
        <v>85</v>
      </c>
      <c r="D9" s="10" t="n">
        <v>3</v>
      </c>
      <c r="E9" s="10"/>
      <c r="F9" s="10" t="s">
        <v>39</v>
      </c>
      <c r="G9" s="10" t="s">
        <v>315</v>
      </c>
      <c r="H9" s="9"/>
      <c r="I9" s="9"/>
      <c r="J9" s="9"/>
    </row>
    <row r="10" customFormat="false" ht="15" hidden="false" customHeight="false" outlineLevel="0" collapsed="false">
      <c r="A10" s="10" t="s">
        <v>306</v>
      </c>
      <c r="B10" s="10" t="s">
        <v>316</v>
      </c>
      <c r="C10" s="10" t="s">
        <v>85</v>
      </c>
      <c r="D10" s="10" t="n">
        <v>3</v>
      </c>
      <c r="E10" s="10"/>
      <c r="F10" s="10" t="s">
        <v>317</v>
      </c>
      <c r="G10" s="10" t="s">
        <v>318</v>
      </c>
      <c r="H10" s="9"/>
      <c r="I10" s="9"/>
      <c r="J10" s="9"/>
    </row>
    <row r="11" customFormat="false" ht="23.85" hidden="false" customHeight="false" outlineLevel="0" collapsed="false">
      <c r="A11" s="10" t="s">
        <v>306</v>
      </c>
      <c r="B11" s="10" t="s">
        <v>319</v>
      </c>
      <c r="C11" s="10" t="s">
        <v>85</v>
      </c>
      <c r="D11" s="10" t="n">
        <v>50</v>
      </c>
      <c r="E11" s="10" t="s">
        <v>68</v>
      </c>
      <c r="F11" s="10" t="s">
        <v>65</v>
      </c>
      <c r="G11" s="10"/>
      <c r="H11" s="9"/>
      <c r="I11" s="9"/>
      <c r="J11" s="9"/>
    </row>
    <row r="12" customFormat="false" ht="23.85" hidden="false" customHeight="false" outlineLevel="0" collapsed="false">
      <c r="A12" s="10" t="s">
        <v>306</v>
      </c>
      <c r="B12" s="10" t="s">
        <v>320</v>
      </c>
      <c r="C12" s="10" t="s">
        <v>85</v>
      </c>
      <c r="D12" s="10" t="n">
        <v>100</v>
      </c>
      <c r="E12" s="10" t="s">
        <v>68</v>
      </c>
      <c r="F12" s="10" t="s">
        <v>65</v>
      </c>
      <c r="G12" s="10"/>
      <c r="H12" s="9"/>
      <c r="I12" s="9"/>
      <c r="J12" s="9"/>
    </row>
  </sheetData>
  <autoFilter ref="A4:J12"/>
  <dataValidations count="1">
    <dataValidation allowBlank="true" errorStyle="stop" operator="between" showDropDown="false" showErrorMessage="false" showInputMessage="false" sqref="H5:H12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15" hidden="false" customHeight="false" outlineLevel="0" collapsed="false">
      <c r="A5" s="8" t="s">
        <v>321</v>
      </c>
      <c r="B5" s="8" t="s">
        <v>322</v>
      </c>
      <c r="C5" s="8" t="s">
        <v>27</v>
      </c>
      <c r="D5" s="8" t="n">
        <v>3</v>
      </c>
      <c r="E5" s="8" t="s">
        <v>38</v>
      </c>
      <c r="F5" s="8" t="s">
        <v>289</v>
      </c>
      <c r="G5" s="8"/>
      <c r="H5" s="9"/>
      <c r="I5" s="9"/>
      <c r="J5" s="9"/>
    </row>
    <row r="6" customFormat="false" ht="15" hidden="false" customHeight="false" outlineLevel="0" collapsed="false">
      <c r="A6" s="8" t="s">
        <v>321</v>
      </c>
      <c r="B6" s="8" t="s">
        <v>323</v>
      </c>
      <c r="C6" s="8" t="s">
        <v>27</v>
      </c>
      <c r="D6" s="8" t="n">
        <v>6</v>
      </c>
      <c r="E6" s="8"/>
      <c r="F6" s="8" t="s">
        <v>75</v>
      </c>
      <c r="G6" s="8" t="s">
        <v>324</v>
      </c>
      <c r="H6" s="9"/>
      <c r="I6" s="9"/>
      <c r="J6" s="9"/>
    </row>
    <row r="7" customFormat="false" ht="23.85" hidden="false" customHeight="false" outlineLevel="0" collapsed="false">
      <c r="A7" s="8" t="s">
        <v>321</v>
      </c>
      <c r="B7" s="8" t="s">
        <v>26</v>
      </c>
      <c r="C7" s="8" t="s">
        <v>27</v>
      </c>
      <c r="D7" s="8" t="n">
        <v>5</v>
      </c>
      <c r="E7" s="8" t="s">
        <v>28</v>
      </c>
      <c r="F7" s="8" t="s">
        <v>29</v>
      </c>
      <c r="G7" s="8" t="s">
        <v>325</v>
      </c>
      <c r="H7" s="9"/>
      <c r="I7" s="9"/>
      <c r="J7" s="9"/>
    </row>
    <row r="8" customFormat="false" ht="23.85" hidden="false" customHeight="false" outlineLevel="0" collapsed="false">
      <c r="A8" s="8" t="s">
        <v>321</v>
      </c>
      <c r="B8" s="8" t="s">
        <v>326</v>
      </c>
      <c r="C8" s="8" t="s">
        <v>27</v>
      </c>
      <c r="D8" s="8" t="n">
        <v>5</v>
      </c>
      <c r="E8" s="8" t="s">
        <v>42</v>
      </c>
      <c r="F8" s="8" t="s">
        <v>43</v>
      </c>
      <c r="G8" s="8" t="s">
        <v>327</v>
      </c>
      <c r="H8" s="9"/>
      <c r="I8" s="9"/>
      <c r="J8" s="9"/>
    </row>
    <row r="9" customFormat="false" ht="23.85" hidden="false" customHeight="false" outlineLevel="0" collapsed="false">
      <c r="A9" s="8" t="s">
        <v>321</v>
      </c>
      <c r="B9" s="8" t="s">
        <v>328</v>
      </c>
      <c r="C9" s="8" t="s">
        <v>27</v>
      </c>
      <c r="D9" s="8" t="n">
        <v>2</v>
      </c>
      <c r="E9" s="8"/>
      <c r="F9" s="8" t="s">
        <v>43</v>
      </c>
      <c r="G9" s="8" t="s">
        <v>329</v>
      </c>
      <c r="H9" s="9"/>
      <c r="I9" s="9"/>
      <c r="J9" s="9"/>
    </row>
    <row r="10" customFormat="false" ht="23.85" hidden="false" customHeight="false" outlineLevel="0" collapsed="false">
      <c r="A10" s="8" t="s">
        <v>321</v>
      </c>
      <c r="B10" s="8" t="s">
        <v>330</v>
      </c>
      <c r="C10" s="8" t="s">
        <v>27</v>
      </c>
      <c r="D10" s="8" t="n">
        <v>3</v>
      </c>
      <c r="E10" s="8"/>
      <c r="F10" s="8" t="s">
        <v>43</v>
      </c>
      <c r="G10" s="8"/>
      <c r="H10" s="9"/>
      <c r="I10" s="9"/>
      <c r="J10" s="9"/>
    </row>
    <row r="11" customFormat="false" ht="23.85" hidden="false" customHeight="false" outlineLevel="0" collapsed="false">
      <c r="A11" s="8" t="s">
        <v>321</v>
      </c>
      <c r="B11" s="8" t="s">
        <v>331</v>
      </c>
      <c r="C11" s="8" t="s">
        <v>27</v>
      </c>
      <c r="D11" s="8" t="n">
        <v>100</v>
      </c>
      <c r="E11" s="8"/>
      <c r="F11" s="8" t="s">
        <v>75</v>
      </c>
      <c r="G11" s="8"/>
      <c r="H11" s="9"/>
      <c r="I11" s="9"/>
      <c r="J11" s="9"/>
    </row>
    <row r="12" customFormat="false" ht="23.85" hidden="false" customHeight="false" outlineLevel="0" collapsed="false">
      <c r="A12" s="8" t="s">
        <v>332</v>
      </c>
      <c r="B12" s="8" t="s">
        <v>333</v>
      </c>
      <c r="C12" s="8" t="s">
        <v>27</v>
      </c>
      <c r="D12" s="8" t="n">
        <v>1.6</v>
      </c>
      <c r="E12" s="8" t="s">
        <v>334</v>
      </c>
      <c r="F12" s="8" t="s">
        <v>335</v>
      </c>
      <c r="G12" s="8" t="s">
        <v>336</v>
      </c>
      <c r="H12" s="9"/>
      <c r="I12" s="9"/>
      <c r="J12" s="9"/>
    </row>
    <row r="13" customFormat="false" ht="15" hidden="false" customHeight="false" outlineLevel="0" collapsed="false">
      <c r="A13" s="8" t="s">
        <v>332</v>
      </c>
      <c r="B13" s="8" t="s">
        <v>337</v>
      </c>
      <c r="C13" s="8" t="s">
        <v>27</v>
      </c>
      <c r="D13" s="8" t="n">
        <v>10</v>
      </c>
      <c r="E13" s="8" t="s">
        <v>28</v>
      </c>
      <c r="F13" s="8" t="s">
        <v>39</v>
      </c>
      <c r="G13" s="8" t="s">
        <v>338</v>
      </c>
      <c r="H13" s="9"/>
      <c r="I13" s="9"/>
      <c r="J13" s="9"/>
    </row>
    <row r="14" customFormat="false" ht="23.85" hidden="false" customHeight="false" outlineLevel="0" collapsed="false">
      <c r="A14" s="8" t="s">
        <v>332</v>
      </c>
      <c r="B14" s="8" t="s">
        <v>339</v>
      </c>
      <c r="C14" s="8" t="s">
        <v>27</v>
      </c>
      <c r="D14" s="8" t="n">
        <v>6</v>
      </c>
      <c r="E14" s="8" t="s">
        <v>340</v>
      </c>
      <c r="F14" s="8" t="s">
        <v>75</v>
      </c>
      <c r="G14" s="8"/>
      <c r="H14" s="9"/>
      <c r="I14" s="9"/>
      <c r="J14" s="9"/>
    </row>
    <row r="15" customFormat="false" ht="15" hidden="false" customHeight="false" outlineLevel="0" collapsed="false">
      <c r="A15" s="8" t="s">
        <v>341</v>
      </c>
      <c r="B15" s="8" t="s">
        <v>342</v>
      </c>
      <c r="C15" s="8" t="s">
        <v>27</v>
      </c>
      <c r="D15" s="8" t="n">
        <v>0</v>
      </c>
      <c r="E15" s="8" t="s">
        <v>58</v>
      </c>
      <c r="F15" s="8" t="s">
        <v>311</v>
      </c>
      <c r="G15" s="8" t="s">
        <v>343</v>
      </c>
      <c r="H15" s="9"/>
      <c r="I15" s="9"/>
      <c r="J15" s="9"/>
    </row>
    <row r="16" customFormat="false" ht="15" hidden="false" customHeight="false" outlineLevel="0" collapsed="false">
      <c r="A16" s="8" t="s">
        <v>341</v>
      </c>
      <c r="B16" s="8" t="s">
        <v>344</v>
      </c>
      <c r="C16" s="8" t="s">
        <v>27</v>
      </c>
      <c r="D16" s="8" t="n">
        <v>0.35</v>
      </c>
      <c r="E16" s="8" t="s">
        <v>50</v>
      </c>
      <c r="F16" s="8" t="s">
        <v>43</v>
      </c>
      <c r="G16" s="8" t="s">
        <v>345</v>
      </c>
      <c r="H16" s="9"/>
      <c r="I16" s="9"/>
      <c r="J16" s="9"/>
    </row>
    <row r="17" customFormat="false" ht="23.85" hidden="false" customHeight="false" outlineLevel="0" collapsed="false">
      <c r="A17" s="8" t="s">
        <v>346</v>
      </c>
      <c r="B17" s="8" t="s">
        <v>180</v>
      </c>
      <c r="C17" s="8" t="s">
        <v>27</v>
      </c>
      <c r="D17" s="8" t="n">
        <v>3</v>
      </c>
      <c r="E17" s="8" t="s">
        <v>181</v>
      </c>
      <c r="F17" s="8" t="s">
        <v>347</v>
      </c>
      <c r="G17" s="8"/>
      <c r="H17" s="9"/>
      <c r="I17" s="9"/>
      <c r="J17" s="9"/>
    </row>
    <row r="18" customFormat="false" ht="23.85" hidden="false" customHeight="false" outlineLevel="0" collapsed="false">
      <c r="A18" s="8" t="s">
        <v>346</v>
      </c>
      <c r="B18" s="8" t="s">
        <v>184</v>
      </c>
      <c r="C18" s="8" t="s">
        <v>27</v>
      </c>
      <c r="D18" s="8" t="n">
        <v>0.03</v>
      </c>
      <c r="E18" s="8" t="s">
        <v>185</v>
      </c>
      <c r="F18" s="8" t="s">
        <v>186</v>
      </c>
      <c r="G18" s="8" t="s">
        <v>348</v>
      </c>
      <c r="H18" s="9"/>
      <c r="I18" s="9"/>
      <c r="J18" s="9"/>
    </row>
    <row r="19" customFormat="false" ht="15" hidden="false" customHeight="false" outlineLevel="0" collapsed="false">
      <c r="A19" s="8" t="s">
        <v>346</v>
      </c>
      <c r="B19" s="8" t="s">
        <v>188</v>
      </c>
      <c r="C19" s="8" t="s">
        <v>27</v>
      </c>
      <c r="D19" s="8" t="n">
        <v>5</v>
      </c>
      <c r="E19" s="8" t="s">
        <v>28</v>
      </c>
      <c r="F19" s="8" t="s">
        <v>29</v>
      </c>
      <c r="G19" s="8"/>
      <c r="H19" s="9"/>
      <c r="I19" s="9"/>
      <c r="J19" s="9"/>
    </row>
    <row r="20" customFormat="false" ht="15" hidden="false" customHeight="false" outlineLevel="0" collapsed="false">
      <c r="A20" s="8" t="s">
        <v>349</v>
      </c>
      <c r="B20" s="8" t="s">
        <v>342</v>
      </c>
      <c r="C20" s="8" t="s">
        <v>27</v>
      </c>
      <c r="D20" s="8" t="n">
        <v>0</v>
      </c>
      <c r="E20" s="8" t="s">
        <v>58</v>
      </c>
      <c r="F20" s="8" t="s">
        <v>311</v>
      </c>
      <c r="G20" s="8" t="s">
        <v>343</v>
      </c>
      <c r="H20" s="9"/>
      <c r="I20" s="9"/>
      <c r="J20" s="9"/>
    </row>
    <row r="21" customFormat="false" ht="15" hidden="false" customHeight="false" outlineLevel="0" collapsed="false">
      <c r="A21" s="8" t="s">
        <v>349</v>
      </c>
      <c r="B21" s="8" t="s">
        <v>344</v>
      </c>
      <c r="C21" s="8" t="s">
        <v>27</v>
      </c>
      <c r="D21" s="8" t="n">
        <v>0.35</v>
      </c>
      <c r="E21" s="8" t="s">
        <v>50</v>
      </c>
      <c r="F21" s="8" t="s">
        <v>43</v>
      </c>
      <c r="G21" s="8" t="s">
        <v>345</v>
      </c>
      <c r="H21" s="9"/>
      <c r="I21" s="9"/>
      <c r="J21" s="9"/>
    </row>
    <row r="22" customFormat="false" ht="15" hidden="false" customHeight="false" outlineLevel="0" collapsed="false">
      <c r="A22" s="8" t="s">
        <v>350</v>
      </c>
      <c r="B22" s="8" t="s">
        <v>248</v>
      </c>
      <c r="C22" s="8" t="s">
        <v>27</v>
      </c>
      <c r="D22" s="8"/>
      <c r="E22" s="8" t="s">
        <v>28</v>
      </c>
      <c r="F22" s="8" t="s">
        <v>29</v>
      </c>
      <c r="G22" s="8" t="s">
        <v>351</v>
      </c>
      <c r="H22" s="9"/>
      <c r="I22" s="9"/>
      <c r="J22" s="9"/>
    </row>
    <row r="23" customFormat="false" ht="23.85" hidden="false" customHeight="false" outlineLevel="0" collapsed="false">
      <c r="A23" s="8" t="s">
        <v>350</v>
      </c>
      <c r="B23" s="8" t="s">
        <v>352</v>
      </c>
      <c r="C23" s="8" t="s">
        <v>27</v>
      </c>
      <c r="D23" s="8" t="n">
        <v>0</v>
      </c>
      <c r="E23" s="8" t="s">
        <v>28</v>
      </c>
      <c r="F23" s="8" t="s">
        <v>289</v>
      </c>
      <c r="G23" s="8"/>
      <c r="H23" s="9"/>
      <c r="I23" s="9"/>
      <c r="J23" s="9"/>
    </row>
    <row r="24" customFormat="false" ht="15" hidden="false" customHeight="false" outlineLevel="0" collapsed="false">
      <c r="A24" s="8" t="s">
        <v>353</v>
      </c>
      <c r="B24" s="8" t="s">
        <v>146</v>
      </c>
      <c r="C24" s="8" t="s">
        <v>27</v>
      </c>
      <c r="D24" s="8" t="n">
        <v>10</v>
      </c>
      <c r="E24" s="8" t="s">
        <v>28</v>
      </c>
      <c r="F24" s="8" t="s">
        <v>39</v>
      </c>
      <c r="G24" s="8"/>
      <c r="H24" s="9"/>
      <c r="I24" s="9"/>
      <c r="J24" s="9"/>
    </row>
    <row r="25" customFormat="false" ht="23.85" hidden="false" customHeight="false" outlineLevel="0" collapsed="false">
      <c r="A25" s="8" t="s">
        <v>353</v>
      </c>
      <c r="B25" s="8" t="s">
        <v>354</v>
      </c>
      <c r="C25" s="8" t="s">
        <v>27</v>
      </c>
      <c r="D25" s="8" t="n">
        <v>8</v>
      </c>
      <c r="E25" s="8" t="s">
        <v>68</v>
      </c>
      <c r="F25" s="8" t="s">
        <v>43</v>
      </c>
      <c r="G25" s="8" t="s">
        <v>355</v>
      </c>
      <c r="H25" s="9"/>
      <c r="I25" s="9"/>
      <c r="J25" s="9"/>
    </row>
    <row r="26" customFormat="false" ht="23.85" hidden="false" customHeight="false" outlineLevel="0" collapsed="false">
      <c r="A26" s="8" t="s">
        <v>356</v>
      </c>
      <c r="B26" s="8" t="s">
        <v>357</v>
      </c>
      <c r="C26" s="8" t="s">
        <v>27</v>
      </c>
      <c r="D26" s="8" t="n">
        <v>100</v>
      </c>
      <c r="E26" s="8" t="s">
        <v>68</v>
      </c>
      <c r="F26" s="8" t="s">
        <v>150</v>
      </c>
      <c r="G26" s="8" t="s">
        <v>358</v>
      </c>
      <c r="H26" s="9"/>
      <c r="I26" s="9"/>
      <c r="J26" s="9"/>
    </row>
    <row r="27" customFormat="false" ht="15" hidden="false" customHeight="false" outlineLevel="0" collapsed="false">
      <c r="A27" s="8" t="s">
        <v>356</v>
      </c>
      <c r="B27" s="8" t="s">
        <v>337</v>
      </c>
      <c r="C27" s="8" t="s">
        <v>27</v>
      </c>
      <c r="D27" s="8" t="n">
        <v>5</v>
      </c>
      <c r="E27" s="8" t="s">
        <v>28</v>
      </c>
      <c r="F27" s="8" t="s">
        <v>39</v>
      </c>
      <c r="G27" s="8"/>
      <c r="H27" s="9"/>
      <c r="I27" s="9"/>
      <c r="J27" s="9"/>
    </row>
    <row r="28" customFormat="false" ht="15" hidden="false" customHeight="false" outlineLevel="0" collapsed="false">
      <c r="A28" s="10" t="s">
        <v>321</v>
      </c>
      <c r="B28" s="10" t="s">
        <v>359</v>
      </c>
      <c r="C28" s="10" t="s">
        <v>85</v>
      </c>
      <c r="D28" s="10" t="n">
        <v>30</v>
      </c>
      <c r="E28" s="10" t="s">
        <v>58</v>
      </c>
      <c r="F28" s="10" t="s">
        <v>75</v>
      </c>
      <c r="G28" s="10"/>
      <c r="H28" s="9"/>
      <c r="I28" s="9"/>
      <c r="J28" s="9"/>
    </row>
    <row r="29" customFormat="false" ht="15" hidden="false" customHeight="false" outlineLevel="0" collapsed="false">
      <c r="A29" s="10" t="s">
        <v>321</v>
      </c>
      <c r="B29" s="10" t="s">
        <v>360</v>
      </c>
      <c r="C29" s="10" t="s">
        <v>85</v>
      </c>
      <c r="D29" s="10" t="n">
        <v>60</v>
      </c>
      <c r="E29" s="10" t="s">
        <v>58</v>
      </c>
      <c r="F29" s="10" t="s">
        <v>75</v>
      </c>
      <c r="G29" s="10"/>
      <c r="H29" s="9"/>
      <c r="I29" s="9"/>
      <c r="J29" s="9"/>
    </row>
    <row r="30" customFormat="false" ht="15" hidden="false" customHeight="false" outlineLevel="0" collapsed="false">
      <c r="A30" s="10" t="s">
        <v>321</v>
      </c>
      <c r="B30" s="10" t="s">
        <v>361</v>
      </c>
      <c r="C30" s="10" t="s">
        <v>85</v>
      </c>
      <c r="D30" s="10" t="n">
        <v>25</v>
      </c>
      <c r="E30" s="10" t="s">
        <v>50</v>
      </c>
      <c r="F30" s="10" t="s">
        <v>75</v>
      </c>
      <c r="G30" s="10"/>
      <c r="H30" s="9"/>
      <c r="I30" s="9"/>
      <c r="J30" s="9"/>
    </row>
    <row r="31" customFormat="false" ht="23.85" hidden="false" customHeight="false" outlineLevel="0" collapsed="false">
      <c r="A31" s="10" t="s">
        <v>321</v>
      </c>
      <c r="B31" s="10" t="s">
        <v>362</v>
      </c>
      <c r="C31" s="10" t="s">
        <v>85</v>
      </c>
      <c r="D31" s="10" t="n">
        <v>9</v>
      </c>
      <c r="E31" s="10" t="s">
        <v>38</v>
      </c>
      <c r="F31" s="10" t="s">
        <v>363</v>
      </c>
      <c r="G31" s="10" t="s">
        <v>364</v>
      </c>
      <c r="H31" s="9"/>
      <c r="I31" s="9"/>
      <c r="J31" s="9"/>
    </row>
    <row r="32" customFormat="false" ht="15" hidden="false" customHeight="false" outlineLevel="0" collapsed="false">
      <c r="A32" s="10" t="s">
        <v>321</v>
      </c>
      <c r="B32" s="10" t="s">
        <v>365</v>
      </c>
      <c r="C32" s="10" t="s">
        <v>85</v>
      </c>
      <c r="D32" s="10" t="n">
        <v>5</v>
      </c>
      <c r="E32" s="10" t="s">
        <v>50</v>
      </c>
      <c r="F32" s="10" t="s">
        <v>75</v>
      </c>
      <c r="G32" s="10"/>
      <c r="H32" s="9"/>
      <c r="I32" s="9"/>
      <c r="J32" s="9"/>
    </row>
    <row r="33" customFormat="false" ht="23.85" hidden="false" customHeight="false" outlineLevel="0" collapsed="false">
      <c r="A33" s="10" t="s">
        <v>321</v>
      </c>
      <c r="B33" s="10" t="s">
        <v>366</v>
      </c>
      <c r="C33" s="10" t="s">
        <v>85</v>
      </c>
      <c r="D33" s="10" t="n">
        <v>5</v>
      </c>
      <c r="E33" s="10" t="s">
        <v>102</v>
      </c>
      <c r="F33" s="10" t="s">
        <v>75</v>
      </c>
      <c r="G33" s="10"/>
      <c r="H33" s="9"/>
      <c r="I33" s="9"/>
      <c r="J33" s="9"/>
    </row>
    <row r="34" customFormat="false" ht="15" hidden="false" customHeight="false" outlineLevel="0" collapsed="false">
      <c r="A34" s="10" t="s">
        <v>332</v>
      </c>
      <c r="B34" s="10" t="s">
        <v>156</v>
      </c>
      <c r="C34" s="10" t="s">
        <v>85</v>
      </c>
      <c r="D34" s="10" t="n">
        <v>25</v>
      </c>
      <c r="E34" s="10" t="s">
        <v>50</v>
      </c>
      <c r="F34" s="10" t="s">
        <v>75</v>
      </c>
      <c r="G34" s="10"/>
      <c r="H34" s="9"/>
      <c r="I34" s="9"/>
      <c r="J34" s="9"/>
    </row>
    <row r="35" customFormat="false" ht="23.85" hidden="false" customHeight="false" outlineLevel="0" collapsed="false">
      <c r="A35" s="10" t="s">
        <v>332</v>
      </c>
      <c r="B35" s="10" t="s">
        <v>367</v>
      </c>
      <c r="C35" s="10" t="s">
        <v>85</v>
      </c>
      <c r="D35" s="10" t="n">
        <v>5</v>
      </c>
      <c r="E35" s="10" t="s">
        <v>368</v>
      </c>
      <c r="F35" s="10" t="s">
        <v>216</v>
      </c>
      <c r="G35" s="10"/>
      <c r="H35" s="9"/>
      <c r="I35" s="9"/>
      <c r="J35" s="9"/>
    </row>
    <row r="36" customFormat="false" ht="23.85" hidden="false" customHeight="false" outlineLevel="0" collapsed="false">
      <c r="A36" s="10" t="s">
        <v>332</v>
      </c>
      <c r="B36" s="10" t="s">
        <v>369</v>
      </c>
      <c r="C36" s="10" t="s">
        <v>85</v>
      </c>
      <c r="D36" s="10" t="n">
        <v>25</v>
      </c>
      <c r="E36" s="10" t="s">
        <v>68</v>
      </c>
      <c r="F36" s="10" t="s">
        <v>75</v>
      </c>
      <c r="G36" s="10"/>
      <c r="H36" s="9"/>
      <c r="I36" s="9"/>
      <c r="J36" s="9"/>
    </row>
    <row r="37" customFormat="false" ht="15" hidden="false" customHeight="false" outlineLevel="0" collapsed="false">
      <c r="A37" s="10" t="s">
        <v>341</v>
      </c>
      <c r="B37" s="10" t="s">
        <v>370</v>
      </c>
      <c r="C37" s="10" t="s">
        <v>85</v>
      </c>
      <c r="D37" s="10" t="n">
        <v>15</v>
      </c>
      <c r="E37" s="10" t="s">
        <v>50</v>
      </c>
      <c r="F37" s="10" t="s">
        <v>75</v>
      </c>
      <c r="G37" s="10"/>
      <c r="H37" s="9"/>
      <c r="I37" s="9"/>
      <c r="J37" s="9"/>
    </row>
    <row r="38" customFormat="false" ht="23.85" hidden="false" customHeight="false" outlineLevel="0" collapsed="false">
      <c r="A38" s="10" t="s">
        <v>341</v>
      </c>
      <c r="B38" s="10" t="s">
        <v>371</v>
      </c>
      <c r="C38" s="10" t="s">
        <v>85</v>
      </c>
      <c r="D38" s="10" t="n">
        <v>25</v>
      </c>
      <c r="E38" s="10" t="s">
        <v>68</v>
      </c>
      <c r="F38" s="10" t="s">
        <v>75</v>
      </c>
      <c r="G38" s="10"/>
      <c r="H38" s="9"/>
      <c r="I38" s="9"/>
      <c r="J38" s="9"/>
    </row>
    <row r="39" customFormat="false" ht="23.85" hidden="false" customHeight="false" outlineLevel="0" collapsed="false">
      <c r="A39" s="10" t="s">
        <v>346</v>
      </c>
      <c r="B39" s="10" t="s">
        <v>372</v>
      </c>
      <c r="C39" s="10" t="s">
        <v>85</v>
      </c>
      <c r="D39" s="10" t="n">
        <v>6</v>
      </c>
      <c r="E39" s="10" t="s">
        <v>58</v>
      </c>
      <c r="F39" s="10" t="s">
        <v>75</v>
      </c>
      <c r="G39" s="10"/>
      <c r="H39" s="9"/>
      <c r="I39" s="9"/>
      <c r="J39" s="9"/>
    </row>
    <row r="40" customFormat="false" ht="23.85" hidden="false" customHeight="false" outlineLevel="0" collapsed="false">
      <c r="A40" s="10" t="s">
        <v>346</v>
      </c>
      <c r="B40" s="10" t="s">
        <v>211</v>
      </c>
      <c r="C40" s="10" t="s">
        <v>85</v>
      </c>
      <c r="D40" s="10" t="n">
        <v>4</v>
      </c>
      <c r="E40" s="10" t="s">
        <v>102</v>
      </c>
      <c r="F40" s="10" t="s">
        <v>212</v>
      </c>
      <c r="G40" s="10"/>
      <c r="H40" s="9"/>
      <c r="I40" s="9"/>
      <c r="J40" s="9"/>
    </row>
    <row r="41" customFormat="false" ht="23.85" hidden="false" customHeight="false" outlineLevel="0" collapsed="false">
      <c r="A41" s="10" t="s">
        <v>346</v>
      </c>
      <c r="B41" s="10" t="s">
        <v>373</v>
      </c>
      <c r="C41" s="10" t="s">
        <v>85</v>
      </c>
      <c r="D41" s="10" t="n">
        <v>50</v>
      </c>
      <c r="E41" s="10" t="s">
        <v>102</v>
      </c>
      <c r="F41" s="10" t="s">
        <v>75</v>
      </c>
      <c r="G41" s="10"/>
      <c r="H41" s="9"/>
      <c r="I41" s="9"/>
      <c r="J41" s="9"/>
    </row>
    <row r="42" customFormat="false" ht="23.85" hidden="false" customHeight="false" outlineLevel="0" collapsed="false">
      <c r="A42" s="10" t="s">
        <v>346</v>
      </c>
      <c r="B42" s="10" t="s">
        <v>369</v>
      </c>
      <c r="C42" s="10" t="s">
        <v>85</v>
      </c>
      <c r="D42" s="10" t="n">
        <v>25</v>
      </c>
      <c r="E42" s="10" t="s">
        <v>68</v>
      </c>
      <c r="F42" s="10" t="s">
        <v>75</v>
      </c>
      <c r="G42" s="10"/>
      <c r="H42" s="9"/>
      <c r="I42" s="9"/>
      <c r="J42" s="9"/>
    </row>
    <row r="43" customFormat="false" ht="15" hidden="false" customHeight="false" outlineLevel="0" collapsed="false">
      <c r="A43" s="10" t="s">
        <v>349</v>
      </c>
      <c r="B43" s="10" t="s">
        <v>370</v>
      </c>
      <c r="C43" s="10" t="s">
        <v>85</v>
      </c>
      <c r="D43" s="10" t="n">
        <v>15</v>
      </c>
      <c r="E43" s="10" t="s">
        <v>50</v>
      </c>
      <c r="F43" s="10" t="s">
        <v>75</v>
      </c>
      <c r="G43" s="10"/>
      <c r="H43" s="9"/>
      <c r="I43" s="9"/>
      <c r="J43" s="9"/>
    </row>
    <row r="44" customFormat="false" ht="23.85" hidden="false" customHeight="false" outlineLevel="0" collapsed="false">
      <c r="A44" s="10" t="s">
        <v>349</v>
      </c>
      <c r="B44" s="10" t="s">
        <v>371</v>
      </c>
      <c r="C44" s="10" t="s">
        <v>85</v>
      </c>
      <c r="D44" s="10" t="n">
        <v>25</v>
      </c>
      <c r="E44" s="10" t="s">
        <v>68</v>
      </c>
      <c r="F44" s="10" t="s">
        <v>75</v>
      </c>
      <c r="G44" s="10"/>
      <c r="H44" s="9"/>
      <c r="I44" s="9"/>
      <c r="J44" s="9"/>
    </row>
    <row r="45" customFormat="false" ht="15" hidden="false" customHeight="false" outlineLevel="0" collapsed="false">
      <c r="A45" s="10" t="s">
        <v>350</v>
      </c>
      <c r="B45" s="10" t="s">
        <v>162</v>
      </c>
      <c r="C45" s="10" t="s">
        <v>85</v>
      </c>
      <c r="D45" s="10" t="n">
        <v>19</v>
      </c>
      <c r="E45" s="10" t="s">
        <v>58</v>
      </c>
      <c r="F45" s="10" t="s">
        <v>374</v>
      </c>
      <c r="G45" s="10" t="s">
        <v>375</v>
      </c>
      <c r="H45" s="9"/>
      <c r="I45" s="9"/>
      <c r="J45" s="9"/>
    </row>
    <row r="46" customFormat="false" ht="15" hidden="false" customHeight="false" outlineLevel="0" collapsed="false">
      <c r="A46" s="10" t="s">
        <v>350</v>
      </c>
      <c r="B46" s="10" t="s">
        <v>164</v>
      </c>
      <c r="C46" s="10" t="s">
        <v>85</v>
      </c>
      <c r="D46" s="10" t="n">
        <v>128</v>
      </c>
      <c r="E46" s="10" t="s">
        <v>58</v>
      </c>
      <c r="F46" s="10" t="s">
        <v>376</v>
      </c>
      <c r="G46" s="10"/>
      <c r="H46" s="9"/>
      <c r="I46" s="9"/>
      <c r="J46" s="9"/>
    </row>
    <row r="47" customFormat="false" ht="15" hidden="false" customHeight="false" outlineLevel="0" collapsed="false">
      <c r="A47" s="10" t="s">
        <v>350</v>
      </c>
      <c r="B47" s="10" t="s">
        <v>377</v>
      </c>
      <c r="C47" s="10" t="s">
        <v>85</v>
      </c>
      <c r="D47" s="10" t="n">
        <v>2</v>
      </c>
      <c r="E47" s="10" t="s">
        <v>102</v>
      </c>
      <c r="F47" s="10" t="s">
        <v>212</v>
      </c>
      <c r="G47" s="10" t="s">
        <v>375</v>
      </c>
      <c r="H47" s="9"/>
      <c r="I47" s="9"/>
      <c r="J47" s="9"/>
    </row>
    <row r="48" customFormat="false" ht="23.85" hidden="false" customHeight="false" outlineLevel="0" collapsed="false">
      <c r="A48" s="10" t="s">
        <v>350</v>
      </c>
      <c r="B48" s="10" t="s">
        <v>378</v>
      </c>
      <c r="C48" s="10" t="s">
        <v>85</v>
      </c>
      <c r="D48" s="10" t="n">
        <v>15</v>
      </c>
      <c r="E48" s="10" t="s">
        <v>102</v>
      </c>
      <c r="F48" s="10" t="s">
        <v>75</v>
      </c>
      <c r="G48" s="10"/>
      <c r="H48" s="9"/>
      <c r="I48" s="9"/>
      <c r="J48" s="9"/>
    </row>
    <row r="49" customFormat="false" ht="15" hidden="false" customHeight="false" outlineLevel="0" collapsed="false">
      <c r="A49" s="10" t="s">
        <v>350</v>
      </c>
      <c r="B49" s="10" t="s">
        <v>379</v>
      </c>
      <c r="C49" s="10" t="s">
        <v>85</v>
      </c>
      <c r="D49" s="10" t="n">
        <v>2.4</v>
      </c>
      <c r="E49" s="10" t="s">
        <v>68</v>
      </c>
      <c r="F49" s="10" t="s">
        <v>216</v>
      </c>
      <c r="G49" s="10"/>
      <c r="H49" s="9"/>
      <c r="I49" s="9"/>
      <c r="J49" s="9"/>
    </row>
    <row r="50" customFormat="false" ht="23.85" hidden="false" customHeight="false" outlineLevel="0" collapsed="false">
      <c r="A50" s="10" t="s">
        <v>353</v>
      </c>
      <c r="B50" s="10" t="s">
        <v>379</v>
      </c>
      <c r="C50" s="10" t="s">
        <v>85</v>
      </c>
      <c r="D50" s="10" t="n">
        <v>2.4</v>
      </c>
      <c r="E50" s="10" t="s">
        <v>68</v>
      </c>
      <c r="F50" s="10" t="s">
        <v>212</v>
      </c>
      <c r="G50" s="10" t="s">
        <v>380</v>
      </c>
      <c r="H50" s="9"/>
      <c r="I50" s="9"/>
      <c r="J50" s="9"/>
    </row>
    <row r="51" customFormat="false" ht="23.85" hidden="false" customHeight="false" outlineLevel="0" collapsed="false">
      <c r="A51" s="10" t="s">
        <v>356</v>
      </c>
      <c r="B51" s="10" t="s">
        <v>298</v>
      </c>
      <c r="C51" s="10" t="s">
        <v>85</v>
      </c>
      <c r="D51" s="10" t="n">
        <v>200</v>
      </c>
      <c r="E51" s="10" t="s">
        <v>68</v>
      </c>
      <c r="F51" s="10" t="s">
        <v>79</v>
      </c>
      <c r="G51" s="10"/>
      <c r="H51" s="9"/>
      <c r="I51" s="9"/>
      <c r="J51" s="9"/>
    </row>
    <row r="52" customFormat="false" ht="23.85" hidden="false" customHeight="false" outlineLevel="0" collapsed="false">
      <c r="A52" s="10" t="s">
        <v>321</v>
      </c>
      <c r="B52" s="10" t="s">
        <v>381</v>
      </c>
      <c r="C52" s="10" t="s">
        <v>105</v>
      </c>
      <c r="D52" s="10" t="n">
        <v>0</v>
      </c>
      <c r="E52" s="10"/>
      <c r="F52" s="10"/>
      <c r="G52" s="10" t="s">
        <v>382</v>
      </c>
      <c r="H52" s="9"/>
      <c r="I52" s="9"/>
      <c r="J52" s="9"/>
    </row>
    <row r="53" customFormat="false" ht="68.65" hidden="false" customHeight="false" outlineLevel="0" collapsed="false">
      <c r="A53" s="10" t="s">
        <v>321</v>
      </c>
      <c r="B53" s="10" t="s">
        <v>383</v>
      </c>
      <c r="C53" s="10" t="s">
        <v>105</v>
      </c>
      <c r="D53" s="10" t="n">
        <v>1</v>
      </c>
      <c r="E53" s="10"/>
      <c r="F53" s="10"/>
      <c r="G53" s="10" t="s">
        <v>384</v>
      </c>
      <c r="H53" s="9"/>
      <c r="I53" s="9"/>
      <c r="J53" s="9"/>
    </row>
    <row r="54" customFormat="false" ht="23.85" hidden="false" customHeight="false" outlineLevel="0" collapsed="false">
      <c r="A54" s="10" t="s">
        <v>321</v>
      </c>
      <c r="B54" s="10" t="s">
        <v>385</v>
      </c>
      <c r="C54" s="10" t="s">
        <v>105</v>
      </c>
      <c r="D54" s="10" t="n">
        <v>0</v>
      </c>
      <c r="E54" s="10"/>
      <c r="F54" s="10"/>
      <c r="G54" s="10" t="s">
        <v>386</v>
      </c>
      <c r="H54" s="9"/>
      <c r="I54" s="9"/>
      <c r="J54" s="9"/>
    </row>
    <row r="55" customFormat="false" ht="23.85" hidden="false" customHeight="false" outlineLevel="0" collapsed="false">
      <c r="A55" s="10" t="s">
        <v>321</v>
      </c>
      <c r="B55" s="10" t="s">
        <v>387</v>
      </c>
      <c r="C55" s="10" t="s">
        <v>105</v>
      </c>
      <c r="D55" s="10" t="n">
        <v>0</v>
      </c>
      <c r="E55" s="10"/>
      <c r="F55" s="10"/>
      <c r="G55" s="10" t="s">
        <v>388</v>
      </c>
      <c r="H55" s="9"/>
      <c r="I55" s="9"/>
      <c r="J55" s="9"/>
    </row>
    <row r="56" customFormat="false" ht="23.85" hidden="false" customHeight="false" outlineLevel="0" collapsed="false">
      <c r="A56" s="10" t="s">
        <v>321</v>
      </c>
      <c r="B56" s="10" t="s">
        <v>389</v>
      </c>
      <c r="C56" s="10" t="s">
        <v>105</v>
      </c>
      <c r="D56" s="10" t="s">
        <v>108</v>
      </c>
      <c r="E56" s="10"/>
      <c r="F56" s="10"/>
      <c r="G56" s="10" t="s">
        <v>390</v>
      </c>
      <c r="H56" s="9"/>
      <c r="I56" s="9"/>
      <c r="J56" s="9"/>
    </row>
    <row r="57" customFormat="false" ht="23.85" hidden="false" customHeight="false" outlineLevel="0" collapsed="false">
      <c r="A57" s="10" t="s">
        <v>332</v>
      </c>
      <c r="B57" s="10" t="s">
        <v>391</v>
      </c>
      <c r="C57" s="10" t="s">
        <v>105</v>
      </c>
      <c r="D57" s="10" t="n">
        <v>0</v>
      </c>
      <c r="E57" s="10"/>
      <c r="F57" s="10"/>
      <c r="G57" s="10" t="s">
        <v>392</v>
      </c>
      <c r="H57" s="9"/>
      <c r="I57" s="9"/>
      <c r="J57" s="9"/>
    </row>
    <row r="58" customFormat="false" ht="23.85" hidden="false" customHeight="false" outlineLevel="0" collapsed="false">
      <c r="A58" s="10" t="s">
        <v>332</v>
      </c>
      <c r="B58" s="10" t="s">
        <v>393</v>
      </c>
      <c r="C58" s="10" t="s">
        <v>105</v>
      </c>
      <c r="D58" s="10" t="s">
        <v>223</v>
      </c>
      <c r="E58" s="10"/>
      <c r="F58" s="10"/>
      <c r="G58" s="10"/>
      <c r="H58" s="9"/>
      <c r="I58" s="9"/>
      <c r="J58" s="9"/>
    </row>
    <row r="59" customFormat="false" ht="15" hidden="false" customHeight="false" outlineLevel="0" collapsed="false">
      <c r="A59" s="10" t="s">
        <v>332</v>
      </c>
      <c r="B59" s="10" t="s">
        <v>394</v>
      </c>
      <c r="C59" s="10" t="s">
        <v>105</v>
      </c>
      <c r="D59" s="10" t="s">
        <v>108</v>
      </c>
      <c r="E59" s="10"/>
      <c r="F59" s="10"/>
      <c r="G59" s="10"/>
      <c r="H59" s="9"/>
      <c r="I59" s="9"/>
      <c r="J59" s="9"/>
    </row>
    <row r="60" customFormat="false" ht="15" hidden="false" customHeight="false" outlineLevel="0" collapsed="false">
      <c r="A60" s="10" t="s">
        <v>341</v>
      </c>
      <c r="B60" s="10" t="s">
        <v>395</v>
      </c>
      <c r="C60" s="10" t="s">
        <v>105</v>
      </c>
      <c r="D60" s="10" t="n">
        <v>4</v>
      </c>
      <c r="E60" s="10"/>
      <c r="F60" s="10"/>
      <c r="G60" s="10" t="s">
        <v>396</v>
      </c>
      <c r="H60" s="9"/>
      <c r="I60" s="9"/>
      <c r="J60" s="9"/>
    </row>
    <row r="61" customFormat="false" ht="35.05" hidden="false" customHeight="false" outlineLevel="0" collapsed="false">
      <c r="A61" s="10" t="s">
        <v>341</v>
      </c>
      <c r="B61" s="10" t="s">
        <v>397</v>
      </c>
      <c r="C61" s="10" t="s">
        <v>105</v>
      </c>
      <c r="D61" s="10" t="n">
        <v>0</v>
      </c>
      <c r="E61" s="10"/>
      <c r="F61" s="10"/>
      <c r="G61" s="10" t="s">
        <v>398</v>
      </c>
      <c r="H61" s="9"/>
      <c r="I61" s="9"/>
      <c r="J61" s="9"/>
    </row>
    <row r="62" customFormat="false" ht="23.85" hidden="false" customHeight="false" outlineLevel="0" collapsed="false">
      <c r="A62" s="10" t="s">
        <v>341</v>
      </c>
      <c r="B62" s="10" t="s">
        <v>399</v>
      </c>
      <c r="C62" s="10" t="s">
        <v>105</v>
      </c>
      <c r="D62" s="10" t="n">
        <v>1</v>
      </c>
      <c r="E62" s="10"/>
      <c r="F62" s="10"/>
      <c r="G62" s="10" t="s">
        <v>400</v>
      </c>
      <c r="H62" s="9"/>
      <c r="I62" s="9"/>
      <c r="J62" s="9"/>
    </row>
    <row r="63" customFormat="false" ht="46.25" hidden="false" customHeight="false" outlineLevel="0" collapsed="false">
      <c r="A63" s="10" t="s">
        <v>346</v>
      </c>
      <c r="B63" s="10" t="s">
        <v>401</v>
      </c>
      <c r="C63" s="10" t="s">
        <v>105</v>
      </c>
      <c r="D63" s="10" t="n">
        <v>0</v>
      </c>
      <c r="E63" s="10"/>
      <c r="F63" s="10"/>
      <c r="G63" s="10" t="s">
        <v>402</v>
      </c>
      <c r="H63" s="9"/>
      <c r="I63" s="9"/>
      <c r="J63" s="9"/>
    </row>
    <row r="64" customFormat="false" ht="23.85" hidden="false" customHeight="false" outlineLevel="0" collapsed="false">
      <c r="A64" s="10" t="s">
        <v>346</v>
      </c>
      <c r="B64" s="10" t="s">
        <v>403</v>
      </c>
      <c r="C64" s="10" t="s">
        <v>105</v>
      </c>
      <c r="D64" s="10" t="s">
        <v>223</v>
      </c>
      <c r="E64" s="10"/>
      <c r="F64" s="10"/>
      <c r="G64" s="10"/>
      <c r="H64" s="9"/>
      <c r="I64" s="9"/>
      <c r="J64" s="9"/>
    </row>
    <row r="65" customFormat="false" ht="15" hidden="false" customHeight="false" outlineLevel="0" collapsed="false">
      <c r="A65" s="10" t="s">
        <v>346</v>
      </c>
      <c r="B65" s="10" t="s">
        <v>394</v>
      </c>
      <c r="C65" s="10" t="s">
        <v>105</v>
      </c>
      <c r="D65" s="10" t="s">
        <v>223</v>
      </c>
      <c r="E65" s="10"/>
      <c r="F65" s="10"/>
      <c r="G65" s="10"/>
      <c r="H65" s="9"/>
      <c r="I65" s="9"/>
      <c r="J65" s="9"/>
    </row>
    <row r="66" customFormat="false" ht="15" hidden="false" customHeight="false" outlineLevel="0" collapsed="false">
      <c r="A66" s="10" t="s">
        <v>349</v>
      </c>
      <c r="B66" s="10" t="s">
        <v>395</v>
      </c>
      <c r="C66" s="10" t="s">
        <v>105</v>
      </c>
      <c r="D66" s="10" t="n">
        <v>4</v>
      </c>
      <c r="E66" s="10"/>
      <c r="F66" s="10"/>
      <c r="G66" s="10" t="s">
        <v>404</v>
      </c>
      <c r="H66" s="9"/>
      <c r="I66" s="9"/>
      <c r="J66" s="9"/>
    </row>
    <row r="67" customFormat="false" ht="35.05" hidden="false" customHeight="false" outlineLevel="0" collapsed="false">
      <c r="A67" s="10" t="s">
        <v>349</v>
      </c>
      <c r="B67" s="10" t="s">
        <v>397</v>
      </c>
      <c r="C67" s="10" t="s">
        <v>105</v>
      </c>
      <c r="D67" s="10" t="n">
        <v>0</v>
      </c>
      <c r="E67" s="10"/>
      <c r="F67" s="10"/>
      <c r="G67" s="10" t="s">
        <v>398</v>
      </c>
      <c r="H67" s="9"/>
      <c r="I67" s="9"/>
      <c r="J67" s="9"/>
    </row>
    <row r="68" customFormat="false" ht="23.85" hidden="false" customHeight="false" outlineLevel="0" collapsed="false">
      <c r="A68" s="10" t="s">
        <v>349</v>
      </c>
      <c r="B68" s="10" t="s">
        <v>399</v>
      </c>
      <c r="C68" s="10" t="s">
        <v>105</v>
      </c>
      <c r="D68" s="10" t="n">
        <v>1</v>
      </c>
      <c r="E68" s="10"/>
      <c r="F68" s="10"/>
      <c r="G68" s="10" t="s">
        <v>400</v>
      </c>
      <c r="H68" s="9"/>
      <c r="I68" s="9"/>
      <c r="J68" s="9"/>
    </row>
    <row r="69" customFormat="false" ht="46.25" hidden="false" customHeight="false" outlineLevel="0" collapsed="false">
      <c r="A69" s="10" t="s">
        <v>350</v>
      </c>
      <c r="B69" s="10" t="s">
        <v>405</v>
      </c>
      <c r="C69" s="10" t="s">
        <v>105</v>
      </c>
      <c r="D69" s="10" t="n">
        <v>0</v>
      </c>
      <c r="E69" s="10"/>
      <c r="F69" s="10"/>
      <c r="G69" s="10" t="s">
        <v>406</v>
      </c>
      <c r="H69" s="9"/>
      <c r="I69" s="9"/>
      <c r="J69" s="9"/>
    </row>
    <row r="70" customFormat="false" ht="68.65" hidden="false" customHeight="false" outlineLevel="0" collapsed="false">
      <c r="A70" s="10" t="s">
        <v>350</v>
      </c>
      <c r="B70" s="10" t="s">
        <v>407</v>
      </c>
      <c r="C70" s="10" t="s">
        <v>105</v>
      </c>
      <c r="D70" s="10" t="n">
        <v>0</v>
      </c>
      <c r="E70" s="10"/>
      <c r="F70" s="10"/>
      <c r="G70" s="10" t="s">
        <v>408</v>
      </c>
      <c r="H70" s="9"/>
      <c r="I70" s="9"/>
      <c r="J70" s="9"/>
    </row>
    <row r="71" customFormat="false" ht="15" hidden="false" customHeight="false" outlineLevel="0" collapsed="false">
      <c r="A71" s="10" t="s">
        <v>350</v>
      </c>
      <c r="B71" s="10" t="s">
        <v>409</v>
      </c>
      <c r="C71" s="10" t="s">
        <v>105</v>
      </c>
      <c r="D71" s="10" t="s">
        <v>223</v>
      </c>
      <c r="E71" s="10"/>
      <c r="F71" s="10"/>
      <c r="G71" s="10"/>
      <c r="H71" s="9"/>
      <c r="I71" s="9"/>
      <c r="J71" s="9"/>
    </row>
    <row r="72" customFormat="false" ht="23.85" hidden="false" customHeight="false" outlineLevel="0" collapsed="false">
      <c r="A72" s="10" t="s">
        <v>356</v>
      </c>
      <c r="B72" s="10" t="s">
        <v>410</v>
      </c>
      <c r="C72" s="10" t="s">
        <v>105</v>
      </c>
      <c r="D72" s="10" t="n">
        <v>0</v>
      </c>
      <c r="E72" s="10"/>
      <c r="F72" s="10"/>
      <c r="G72" s="10" t="s">
        <v>411</v>
      </c>
      <c r="H72" s="9"/>
      <c r="I72" s="9"/>
      <c r="J72" s="9"/>
    </row>
    <row r="73" customFormat="false" ht="23.85" hidden="false" customHeight="false" outlineLevel="0" collapsed="false">
      <c r="A73" s="10" t="s">
        <v>356</v>
      </c>
      <c r="B73" s="10" t="s">
        <v>412</v>
      </c>
      <c r="C73" s="10" t="s">
        <v>105</v>
      </c>
      <c r="D73" s="10" t="n">
        <v>15</v>
      </c>
      <c r="E73" s="10"/>
      <c r="F73" s="10"/>
      <c r="G73" s="10" t="s">
        <v>413</v>
      </c>
      <c r="H73" s="9"/>
      <c r="I73" s="9"/>
      <c r="J73" s="9"/>
    </row>
    <row r="74" customFormat="false" ht="35.05" hidden="false" customHeight="false" outlineLevel="0" collapsed="false">
      <c r="A74" s="10" t="s">
        <v>356</v>
      </c>
      <c r="B74" s="10" t="s">
        <v>414</v>
      </c>
      <c r="C74" s="10" t="s">
        <v>105</v>
      </c>
      <c r="D74" s="10" t="n">
        <v>100</v>
      </c>
      <c r="E74" s="10"/>
      <c r="F74" s="10"/>
      <c r="G74" s="10" t="s">
        <v>415</v>
      </c>
      <c r="H74" s="9"/>
      <c r="I74" s="9"/>
      <c r="J74" s="9"/>
    </row>
  </sheetData>
  <autoFilter ref="A4:J74"/>
  <dataValidations count="1">
    <dataValidation allowBlank="true" errorStyle="stop" operator="between" showDropDown="false" showErrorMessage="false" showInputMessage="false" sqref="H5:H74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15" hidden="false" customHeight="false" outlineLevel="0" collapsed="false">
      <c r="A5" s="8" t="s">
        <v>416</v>
      </c>
      <c r="B5" s="8" t="s">
        <v>322</v>
      </c>
      <c r="C5" s="8" t="s">
        <v>27</v>
      </c>
      <c r="D5" s="8" t="n">
        <v>2</v>
      </c>
      <c r="E5" s="8" t="s">
        <v>38</v>
      </c>
      <c r="F5" s="8" t="s">
        <v>275</v>
      </c>
      <c r="G5" s="8"/>
      <c r="H5" s="9"/>
      <c r="I5" s="9"/>
      <c r="J5" s="9"/>
    </row>
    <row r="6" customFormat="false" ht="15" hidden="false" customHeight="false" outlineLevel="0" collapsed="false">
      <c r="A6" s="8" t="s">
        <v>416</v>
      </c>
      <c r="B6" s="8" t="s">
        <v>323</v>
      </c>
      <c r="C6" s="8" t="s">
        <v>27</v>
      </c>
      <c r="D6" s="8" t="n">
        <v>8</v>
      </c>
      <c r="E6" s="8"/>
      <c r="F6" s="8" t="s">
        <v>75</v>
      </c>
      <c r="G6" s="8"/>
      <c r="H6" s="9"/>
      <c r="I6" s="9"/>
      <c r="J6" s="9"/>
    </row>
    <row r="7" customFormat="false" ht="15" hidden="false" customHeight="false" outlineLevel="0" collapsed="false">
      <c r="A7" s="8" t="s">
        <v>416</v>
      </c>
      <c r="B7" s="8" t="s">
        <v>26</v>
      </c>
      <c r="C7" s="8" t="s">
        <v>27</v>
      </c>
      <c r="D7" s="8" t="n">
        <v>10</v>
      </c>
      <c r="E7" s="8" t="s">
        <v>28</v>
      </c>
      <c r="F7" s="8" t="s">
        <v>39</v>
      </c>
      <c r="G7" s="8"/>
      <c r="H7" s="9"/>
      <c r="I7" s="9"/>
      <c r="J7" s="9"/>
    </row>
    <row r="8" customFormat="false" ht="23.85" hidden="false" customHeight="false" outlineLevel="0" collapsed="false">
      <c r="A8" s="8" t="s">
        <v>416</v>
      </c>
      <c r="B8" s="8" t="s">
        <v>326</v>
      </c>
      <c r="C8" s="8" t="s">
        <v>27</v>
      </c>
      <c r="D8" s="8" t="n">
        <v>4</v>
      </c>
      <c r="E8" s="8" t="s">
        <v>42</v>
      </c>
      <c r="F8" s="8" t="s">
        <v>43</v>
      </c>
      <c r="G8" s="8"/>
      <c r="H8" s="9"/>
      <c r="I8" s="9"/>
      <c r="J8" s="9"/>
    </row>
    <row r="9" customFormat="false" ht="15" hidden="false" customHeight="false" outlineLevel="0" collapsed="false">
      <c r="A9" s="8" t="s">
        <v>417</v>
      </c>
      <c r="B9" s="8" t="s">
        <v>418</v>
      </c>
      <c r="C9" s="8" t="s">
        <v>27</v>
      </c>
      <c r="D9" s="8" t="n">
        <v>2</v>
      </c>
      <c r="E9" s="8"/>
      <c r="F9" s="8" t="s">
        <v>419</v>
      </c>
      <c r="G9" s="8"/>
      <c r="H9" s="9"/>
      <c r="I9" s="9"/>
      <c r="J9" s="9"/>
    </row>
    <row r="10" customFormat="false" ht="15" hidden="false" customHeight="false" outlineLevel="0" collapsed="false">
      <c r="A10" s="8" t="s">
        <v>417</v>
      </c>
      <c r="B10" s="8" t="s">
        <v>420</v>
      </c>
      <c r="C10" s="8" t="s">
        <v>27</v>
      </c>
      <c r="D10" s="8" t="n">
        <v>10</v>
      </c>
      <c r="E10" s="8" t="s">
        <v>340</v>
      </c>
      <c r="F10" s="8" t="s">
        <v>75</v>
      </c>
      <c r="G10" s="8" t="s">
        <v>421</v>
      </c>
      <c r="H10" s="9"/>
      <c r="I10" s="9"/>
      <c r="J10" s="9"/>
    </row>
    <row r="11" customFormat="false" ht="23.85" hidden="false" customHeight="false" outlineLevel="0" collapsed="false">
      <c r="A11" s="8" t="s">
        <v>417</v>
      </c>
      <c r="B11" s="8" t="s">
        <v>422</v>
      </c>
      <c r="C11" s="8" t="s">
        <v>27</v>
      </c>
      <c r="D11" s="8" t="n">
        <v>10</v>
      </c>
      <c r="E11" s="8" t="s">
        <v>340</v>
      </c>
      <c r="F11" s="8" t="s">
        <v>75</v>
      </c>
      <c r="G11" s="8"/>
      <c r="H11" s="9"/>
      <c r="I11" s="9"/>
      <c r="J11" s="9"/>
    </row>
    <row r="12" customFormat="false" ht="15" hidden="false" customHeight="false" outlineLevel="0" collapsed="false">
      <c r="A12" s="8" t="s">
        <v>423</v>
      </c>
      <c r="B12" s="8" t="s">
        <v>424</v>
      </c>
      <c r="C12" s="8" t="s">
        <v>27</v>
      </c>
      <c r="D12" s="8" t="n">
        <v>10</v>
      </c>
      <c r="E12" s="8" t="s">
        <v>28</v>
      </c>
      <c r="F12" s="8" t="s">
        <v>39</v>
      </c>
      <c r="G12" s="8"/>
      <c r="H12" s="9"/>
      <c r="I12" s="9"/>
      <c r="J12" s="9"/>
    </row>
    <row r="13" customFormat="false" ht="23.85" hidden="false" customHeight="false" outlineLevel="0" collapsed="false">
      <c r="A13" s="8" t="s">
        <v>423</v>
      </c>
      <c r="B13" s="8" t="s">
        <v>425</v>
      </c>
      <c r="C13" s="8" t="s">
        <v>27</v>
      </c>
      <c r="D13" s="8" t="n">
        <v>5</v>
      </c>
      <c r="E13" s="8" t="s">
        <v>42</v>
      </c>
      <c r="F13" s="8" t="s">
        <v>43</v>
      </c>
      <c r="G13" s="8" t="s">
        <v>426</v>
      </c>
      <c r="H13" s="9"/>
      <c r="I13" s="9"/>
      <c r="J13" s="9"/>
    </row>
    <row r="14" customFormat="false" ht="23.85" hidden="false" customHeight="false" outlineLevel="0" collapsed="false">
      <c r="A14" s="8" t="s">
        <v>427</v>
      </c>
      <c r="B14" s="8" t="s">
        <v>342</v>
      </c>
      <c r="C14" s="8" t="s">
        <v>27</v>
      </c>
      <c r="D14" s="8" t="n">
        <v>0</v>
      </c>
      <c r="E14" s="8" t="s">
        <v>58</v>
      </c>
      <c r="F14" s="8" t="s">
        <v>311</v>
      </c>
      <c r="G14" s="8" t="s">
        <v>428</v>
      </c>
      <c r="H14" s="9"/>
      <c r="I14" s="9"/>
      <c r="J14" s="9"/>
    </row>
    <row r="15" customFormat="false" ht="15" hidden="false" customHeight="false" outlineLevel="0" collapsed="false">
      <c r="A15" s="8" t="s">
        <v>427</v>
      </c>
      <c r="B15" s="8" t="s">
        <v>337</v>
      </c>
      <c r="C15" s="8" t="s">
        <v>27</v>
      </c>
      <c r="D15" s="8" t="n">
        <v>5</v>
      </c>
      <c r="E15" s="8" t="s">
        <v>28</v>
      </c>
      <c r="F15" s="8" t="s">
        <v>39</v>
      </c>
      <c r="G15" s="8" t="s">
        <v>429</v>
      </c>
      <c r="H15" s="9"/>
      <c r="I15" s="9"/>
      <c r="J15" s="9"/>
    </row>
    <row r="16" customFormat="false" ht="23.85" hidden="false" customHeight="false" outlineLevel="0" collapsed="false">
      <c r="A16" s="8" t="s">
        <v>430</v>
      </c>
      <c r="B16" s="8" t="s">
        <v>342</v>
      </c>
      <c r="C16" s="8" t="s">
        <v>27</v>
      </c>
      <c r="D16" s="8" t="n">
        <v>0</v>
      </c>
      <c r="E16" s="8" t="s">
        <v>58</v>
      </c>
      <c r="F16" s="8" t="s">
        <v>431</v>
      </c>
      <c r="G16" s="8" t="s">
        <v>432</v>
      </c>
      <c r="H16" s="9"/>
      <c r="I16" s="9"/>
      <c r="J16" s="9"/>
    </row>
    <row r="17" customFormat="false" ht="23.85" hidden="false" customHeight="false" outlineLevel="0" collapsed="false">
      <c r="A17" s="8" t="s">
        <v>430</v>
      </c>
      <c r="B17" s="8" t="s">
        <v>433</v>
      </c>
      <c r="C17" s="8" t="s">
        <v>27</v>
      </c>
      <c r="D17" s="8" t="n">
        <v>6</v>
      </c>
      <c r="E17" s="8"/>
      <c r="F17" s="8" t="s">
        <v>75</v>
      </c>
      <c r="G17" s="8" t="s">
        <v>434</v>
      </c>
      <c r="H17" s="9"/>
      <c r="I17" s="9"/>
      <c r="J17" s="9"/>
    </row>
    <row r="18" customFormat="false" ht="15" hidden="false" customHeight="false" outlineLevel="0" collapsed="false">
      <c r="A18" s="10" t="s">
        <v>416</v>
      </c>
      <c r="B18" s="10" t="s">
        <v>359</v>
      </c>
      <c r="C18" s="10" t="s">
        <v>85</v>
      </c>
      <c r="D18" s="10" t="n">
        <v>30</v>
      </c>
      <c r="E18" s="10" t="s">
        <v>58</v>
      </c>
      <c r="F18" s="10" t="s">
        <v>75</v>
      </c>
      <c r="G18" s="10"/>
      <c r="H18" s="9"/>
      <c r="I18" s="9"/>
      <c r="J18" s="9"/>
    </row>
    <row r="19" customFormat="false" ht="15" hidden="false" customHeight="false" outlineLevel="0" collapsed="false">
      <c r="A19" s="10" t="s">
        <v>416</v>
      </c>
      <c r="B19" s="10" t="s">
        <v>435</v>
      </c>
      <c r="C19" s="10" t="s">
        <v>85</v>
      </c>
      <c r="D19" s="10" t="n">
        <v>60</v>
      </c>
      <c r="E19" s="10" t="s">
        <v>58</v>
      </c>
      <c r="F19" s="10" t="s">
        <v>75</v>
      </c>
      <c r="G19" s="10"/>
      <c r="H19" s="9"/>
      <c r="I19" s="9"/>
      <c r="J19" s="9"/>
    </row>
    <row r="20" customFormat="false" ht="23.85" hidden="false" customHeight="false" outlineLevel="0" collapsed="false">
      <c r="A20" s="10" t="s">
        <v>416</v>
      </c>
      <c r="B20" s="10" t="s">
        <v>436</v>
      </c>
      <c r="C20" s="10" t="s">
        <v>85</v>
      </c>
      <c r="D20" s="10" t="n">
        <v>5</v>
      </c>
      <c r="E20" s="10" t="s">
        <v>102</v>
      </c>
      <c r="F20" s="10" t="s">
        <v>216</v>
      </c>
      <c r="G20" s="10" t="s">
        <v>437</v>
      </c>
      <c r="H20" s="9"/>
      <c r="I20" s="9"/>
      <c r="J20" s="9"/>
    </row>
    <row r="21" customFormat="false" ht="15" hidden="false" customHeight="false" outlineLevel="0" collapsed="false">
      <c r="A21" s="10" t="s">
        <v>416</v>
      </c>
      <c r="B21" s="10" t="s">
        <v>361</v>
      </c>
      <c r="C21" s="10" t="s">
        <v>85</v>
      </c>
      <c r="D21" s="10" t="n">
        <v>25</v>
      </c>
      <c r="E21" s="10" t="s">
        <v>50</v>
      </c>
      <c r="F21" s="10" t="s">
        <v>75</v>
      </c>
      <c r="G21" s="10"/>
      <c r="H21" s="9"/>
      <c r="I21" s="9"/>
      <c r="J21" s="9"/>
    </row>
    <row r="22" customFormat="false" ht="23.85" hidden="false" customHeight="false" outlineLevel="0" collapsed="false">
      <c r="A22" s="10" t="s">
        <v>416</v>
      </c>
      <c r="B22" s="10" t="s">
        <v>362</v>
      </c>
      <c r="C22" s="10" t="s">
        <v>85</v>
      </c>
      <c r="D22" s="10" t="n">
        <v>8</v>
      </c>
      <c r="E22" s="10" t="s">
        <v>38</v>
      </c>
      <c r="F22" s="10" t="s">
        <v>363</v>
      </c>
      <c r="G22" s="10"/>
      <c r="H22" s="9"/>
      <c r="I22" s="9"/>
      <c r="J22" s="9"/>
    </row>
    <row r="23" customFormat="false" ht="15" hidden="false" customHeight="false" outlineLevel="0" collapsed="false">
      <c r="A23" s="10" t="s">
        <v>416</v>
      </c>
      <c r="B23" s="10" t="s">
        <v>365</v>
      </c>
      <c r="C23" s="10" t="s">
        <v>85</v>
      </c>
      <c r="D23" s="10" t="n">
        <v>5</v>
      </c>
      <c r="E23" s="10" t="s">
        <v>50</v>
      </c>
      <c r="F23" s="10" t="s">
        <v>75</v>
      </c>
      <c r="G23" s="10"/>
      <c r="H23" s="9"/>
      <c r="I23" s="9"/>
      <c r="J23" s="9"/>
    </row>
    <row r="24" customFormat="false" ht="15" hidden="false" customHeight="false" outlineLevel="0" collapsed="false">
      <c r="A24" s="10" t="s">
        <v>416</v>
      </c>
      <c r="B24" s="10" t="s">
        <v>438</v>
      </c>
      <c r="C24" s="10" t="s">
        <v>85</v>
      </c>
      <c r="D24" s="10" t="n">
        <v>2.5</v>
      </c>
      <c r="E24" s="10" t="s">
        <v>68</v>
      </c>
      <c r="F24" s="10" t="s">
        <v>75</v>
      </c>
      <c r="G24" s="10"/>
      <c r="H24" s="9"/>
      <c r="I24" s="9"/>
      <c r="J24" s="9"/>
    </row>
    <row r="25" customFormat="false" ht="15" hidden="false" customHeight="false" outlineLevel="0" collapsed="false">
      <c r="A25" s="10" t="s">
        <v>417</v>
      </c>
      <c r="B25" s="10" t="s">
        <v>439</v>
      </c>
      <c r="C25" s="10" t="s">
        <v>85</v>
      </c>
      <c r="D25" s="10" t="n">
        <v>2.5</v>
      </c>
      <c r="E25" s="10" t="s">
        <v>74</v>
      </c>
      <c r="F25" s="10" t="s">
        <v>212</v>
      </c>
      <c r="G25" s="10"/>
      <c r="H25" s="9"/>
      <c r="I25" s="9"/>
      <c r="J25" s="9"/>
    </row>
    <row r="26" customFormat="false" ht="23.85" hidden="false" customHeight="false" outlineLevel="0" collapsed="false">
      <c r="A26" s="10" t="s">
        <v>423</v>
      </c>
      <c r="B26" s="10" t="s">
        <v>440</v>
      </c>
      <c r="C26" s="10" t="s">
        <v>85</v>
      </c>
      <c r="D26" s="10" t="n">
        <v>0.5</v>
      </c>
      <c r="E26" s="10" t="s">
        <v>102</v>
      </c>
      <c r="F26" s="10" t="s">
        <v>69</v>
      </c>
      <c r="G26" s="10"/>
      <c r="H26" s="9"/>
      <c r="I26" s="9"/>
      <c r="J26" s="9"/>
    </row>
    <row r="27" customFormat="false" ht="23.85" hidden="false" customHeight="false" outlineLevel="0" collapsed="false">
      <c r="A27" s="10" t="s">
        <v>423</v>
      </c>
      <c r="B27" s="10" t="s">
        <v>441</v>
      </c>
      <c r="C27" s="10" t="s">
        <v>85</v>
      </c>
      <c r="D27" s="10" t="n">
        <v>1</v>
      </c>
      <c r="E27" s="10" t="s">
        <v>68</v>
      </c>
      <c r="F27" s="10" t="s">
        <v>212</v>
      </c>
      <c r="G27" s="10"/>
      <c r="H27" s="9"/>
      <c r="I27" s="9"/>
      <c r="J27" s="9"/>
    </row>
    <row r="28" customFormat="false" ht="23.85" hidden="false" customHeight="false" outlineLevel="0" collapsed="false">
      <c r="A28" s="10" t="s">
        <v>423</v>
      </c>
      <c r="B28" s="10" t="s">
        <v>442</v>
      </c>
      <c r="C28" s="10" t="s">
        <v>85</v>
      </c>
      <c r="D28" s="10" t="n">
        <v>25</v>
      </c>
      <c r="E28" s="10" t="s">
        <v>50</v>
      </c>
      <c r="F28" s="10" t="s">
        <v>75</v>
      </c>
      <c r="G28" s="10"/>
      <c r="H28" s="9"/>
      <c r="I28" s="9"/>
      <c r="J28" s="9"/>
    </row>
    <row r="29" customFormat="false" ht="15" hidden="false" customHeight="false" outlineLevel="0" collapsed="false">
      <c r="A29" s="10" t="s">
        <v>430</v>
      </c>
      <c r="B29" s="10" t="s">
        <v>443</v>
      </c>
      <c r="C29" s="10" t="s">
        <v>85</v>
      </c>
      <c r="D29" s="10" t="n">
        <v>10.05</v>
      </c>
      <c r="E29" s="10" t="s">
        <v>68</v>
      </c>
      <c r="F29" s="10" t="s">
        <v>75</v>
      </c>
      <c r="G29" s="10"/>
      <c r="H29" s="9"/>
      <c r="I29" s="9"/>
      <c r="J29" s="9"/>
    </row>
    <row r="30" customFormat="false" ht="46.25" hidden="false" customHeight="false" outlineLevel="0" collapsed="false">
      <c r="A30" s="10" t="s">
        <v>416</v>
      </c>
      <c r="B30" s="10" t="s">
        <v>444</v>
      </c>
      <c r="C30" s="10" t="s">
        <v>105</v>
      </c>
      <c r="D30" s="10" t="n">
        <v>1</v>
      </c>
      <c r="E30" s="10"/>
      <c r="F30" s="10"/>
      <c r="G30" s="10" t="s">
        <v>445</v>
      </c>
      <c r="H30" s="9"/>
      <c r="I30" s="9"/>
      <c r="J30" s="9"/>
    </row>
    <row r="31" customFormat="false" ht="57.45" hidden="false" customHeight="false" outlineLevel="0" collapsed="false">
      <c r="A31" s="10" t="s">
        <v>417</v>
      </c>
      <c r="B31" s="10" t="s">
        <v>446</v>
      </c>
      <c r="C31" s="10" t="s">
        <v>105</v>
      </c>
      <c r="D31" s="10" t="n">
        <v>1</v>
      </c>
      <c r="E31" s="10"/>
      <c r="F31" s="10"/>
      <c r="G31" s="10" t="s">
        <v>447</v>
      </c>
      <c r="H31" s="9"/>
      <c r="I31" s="9"/>
      <c r="J31" s="9"/>
    </row>
    <row r="32" customFormat="false" ht="23.85" hidden="false" customHeight="false" outlineLevel="0" collapsed="false">
      <c r="A32" s="10" t="s">
        <v>417</v>
      </c>
      <c r="B32" s="10" t="s">
        <v>448</v>
      </c>
      <c r="C32" s="10" t="s">
        <v>105</v>
      </c>
      <c r="D32" s="10" t="s">
        <v>108</v>
      </c>
      <c r="E32" s="10"/>
      <c r="F32" s="10"/>
      <c r="G32" s="10" t="s">
        <v>449</v>
      </c>
      <c r="H32" s="9"/>
      <c r="I32" s="9"/>
      <c r="J32" s="9"/>
    </row>
    <row r="33" customFormat="false" ht="35.05" hidden="false" customHeight="false" outlineLevel="0" collapsed="false">
      <c r="A33" s="10" t="s">
        <v>427</v>
      </c>
      <c r="B33" s="10" t="s">
        <v>450</v>
      </c>
      <c r="C33" s="10" t="s">
        <v>105</v>
      </c>
      <c r="D33" s="10" t="n">
        <v>2.8</v>
      </c>
      <c r="E33" s="10"/>
      <c r="F33" s="10"/>
      <c r="G33" s="10" t="s">
        <v>451</v>
      </c>
      <c r="H33" s="9"/>
      <c r="I33" s="9"/>
      <c r="J33" s="9"/>
    </row>
    <row r="34" customFormat="false" ht="35.05" hidden="false" customHeight="false" outlineLevel="0" collapsed="false">
      <c r="A34" s="10" t="s">
        <v>427</v>
      </c>
      <c r="B34" s="10" t="s">
        <v>397</v>
      </c>
      <c r="C34" s="10" t="s">
        <v>105</v>
      </c>
      <c r="D34" s="10" t="n">
        <v>0</v>
      </c>
      <c r="E34" s="10"/>
      <c r="F34" s="10"/>
      <c r="G34" s="10" t="s">
        <v>398</v>
      </c>
      <c r="H34" s="9"/>
      <c r="I34" s="9"/>
      <c r="J34" s="9"/>
    </row>
    <row r="35" customFormat="false" ht="23.85" hidden="false" customHeight="false" outlineLevel="0" collapsed="false">
      <c r="A35" s="10" t="s">
        <v>430</v>
      </c>
      <c r="B35" s="10" t="s">
        <v>395</v>
      </c>
      <c r="C35" s="10" t="s">
        <v>105</v>
      </c>
      <c r="D35" s="10" t="n">
        <v>0.53</v>
      </c>
      <c r="E35" s="10"/>
      <c r="F35" s="10"/>
      <c r="G35" s="10" t="s">
        <v>452</v>
      </c>
      <c r="H35" s="9"/>
      <c r="I35" s="9"/>
      <c r="J35" s="9"/>
    </row>
    <row r="36" customFormat="false" ht="46.25" hidden="false" customHeight="false" outlineLevel="0" collapsed="false">
      <c r="A36" s="10" t="s">
        <v>430</v>
      </c>
      <c r="B36" s="10" t="s">
        <v>397</v>
      </c>
      <c r="C36" s="10" t="s">
        <v>105</v>
      </c>
      <c r="D36" s="10" t="n">
        <v>0</v>
      </c>
      <c r="E36" s="10"/>
      <c r="F36" s="10"/>
      <c r="G36" s="10" t="s">
        <v>453</v>
      </c>
      <c r="H36" s="9"/>
      <c r="I36" s="9"/>
      <c r="J36" s="9"/>
    </row>
  </sheetData>
  <autoFilter ref="A4:J36"/>
  <dataValidations count="1">
    <dataValidation allowBlank="true" errorStyle="stop" operator="between" showDropDown="false" showErrorMessage="false" showInputMessage="false" sqref="H5:H36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15" hidden="false" customHeight="false" outlineLevel="0" collapsed="false">
      <c r="A5" s="8" t="s">
        <v>454</v>
      </c>
      <c r="B5" s="8" t="s">
        <v>418</v>
      </c>
      <c r="C5" s="8" t="s">
        <v>27</v>
      </c>
      <c r="D5" s="8" t="n">
        <v>2</v>
      </c>
      <c r="E5" s="8"/>
      <c r="F5" s="8" t="s">
        <v>455</v>
      </c>
      <c r="G5" s="8"/>
      <c r="H5" s="9"/>
      <c r="I5" s="9"/>
      <c r="J5" s="9"/>
    </row>
    <row r="6" customFormat="false" ht="23.85" hidden="false" customHeight="false" outlineLevel="0" collapsed="false">
      <c r="A6" s="8" t="s">
        <v>454</v>
      </c>
      <c r="B6" s="8" t="s">
        <v>420</v>
      </c>
      <c r="C6" s="8" t="s">
        <v>27</v>
      </c>
      <c r="D6" s="8" t="n">
        <v>6</v>
      </c>
      <c r="E6" s="8" t="s">
        <v>340</v>
      </c>
      <c r="F6" s="8" t="s">
        <v>75</v>
      </c>
      <c r="G6" s="8" t="s">
        <v>456</v>
      </c>
      <c r="H6" s="9"/>
      <c r="I6" s="9"/>
      <c r="J6" s="9"/>
    </row>
    <row r="7" customFormat="false" ht="23.85" hidden="false" customHeight="false" outlineLevel="0" collapsed="false">
      <c r="A7" s="8" t="s">
        <v>454</v>
      </c>
      <c r="B7" s="8" t="s">
        <v>457</v>
      </c>
      <c r="C7" s="8" t="s">
        <v>27</v>
      </c>
      <c r="D7" s="8" t="n">
        <v>8</v>
      </c>
      <c r="E7" s="8" t="s">
        <v>340</v>
      </c>
      <c r="F7" s="8" t="s">
        <v>75</v>
      </c>
      <c r="G7" s="8"/>
      <c r="H7" s="9"/>
      <c r="I7" s="9"/>
      <c r="J7" s="9"/>
    </row>
    <row r="8" customFormat="false" ht="23.85" hidden="false" customHeight="false" outlineLevel="0" collapsed="false">
      <c r="A8" s="8" t="s">
        <v>458</v>
      </c>
      <c r="B8" s="8" t="s">
        <v>333</v>
      </c>
      <c r="C8" s="8" t="s">
        <v>27</v>
      </c>
      <c r="D8" s="8" t="n">
        <v>1.4</v>
      </c>
      <c r="E8" s="8" t="s">
        <v>334</v>
      </c>
      <c r="F8" s="8" t="s">
        <v>335</v>
      </c>
      <c r="G8" s="8" t="s">
        <v>459</v>
      </c>
      <c r="H8" s="9"/>
      <c r="I8" s="9"/>
      <c r="J8" s="9"/>
    </row>
    <row r="9" customFormat="false" ht="15" hidden="false" customHeight="false" outlineLevel="0" collapsed="false">
      <c r="A9" s="8" t="s">
        <v>458</v>
      </c>
      <c r="B9" s="8" t="s">
        <v>460</v>
      </c>
      <c r="C9" s="8" t="s">
        <v>27</v>
      </c>
      <c r="D9" s="8" t="n">
        <v>10</v>
      </c>
      <c r="E9" s="8" t="s">
        <v>28</v>
      </c>
      <c r="F9" s="8" t="s">
        <v>39</v>
      </c>
      <c r="G9" s="8"/>
      <c r="H9" s="9"/>
      <c r="I9" s="9"/>
      <c r="J9" s="9"/>
    </row>
    <row r="10" customFormat="false" ht="23.85" hidden="false" customHeight="false" outlineLevel="0" collapsed="false">
      <c r="A10" s="8" t="s">
        <v>461</v>
      </c>
      <c r="B10" s="8" t="s">
        <v>180</v>
      </c>
      <c r="C10" s="8" t="s">
        <v>27</v>
      </c>
      <c r="D10" s="8" t="n">
        <v>3.7</v>
      </c>
      <c r="E10" s="8" t="s">
        <v>181</v>
      </c>
      <c r="F10" s="8" t="s">
        <v>347</v>
      </c>
      <c r="G10" s="8"/>
      <c r="H10" s="9"/>
      <c r="I10" s="9"/>
      <c r="J10" s="9"/>
    </row>
    <row r="11" customFormat="false" ht="23.85" hidden="false" customHeight="false" outlineLevel="0" collapsed="false">
      <c r="A11" s="8" t="s">
        <v>461</v>
      </c>
      <c r="B11" s="8" t="s">
        <v>462</v>
      </c>
      <c r="C11" s="8" t="s">
        <v>27</v>
      </c>
      <c r="D11" s="8" t="n">
        <v>0.032</v>
      </c>
      <c r="E11" s="8" t="s">
        <v>185</v>
      </c>
      <c r="F11" s="8" t="s">
        <v>463</v>
      </c>
      <c r="G11" s="8" t="s">
        <v>464</v>
      </c>
      <c r="H11" s="9"/>
      <c r="I11" s="9"/>
      <c r="J11" s="9"/>
    </row>
    <row r="12" customFormat="false" ht="23.85" hidden="false" customHeight="false" outlineLevel="0" collapsed="false">
      <c r="A12" s="8" t="s">
        <v>461</v>
      </c>
      <c r="B12" s="8" t="s">
        <v>465</v>
      </c>
      <c r="C12" s="8" t="s">
        <v>27</v>
      </c>
      <c r="D12" s="8" t="n">
        <v>5</v>
      </c>
      <c r="E12" s="8" t="s">
        <v>42</v>
      </c>
      <c r="F12" s="8" t="s">
        <v>43</v>
      </c>
      <c r="G12" s="8"/>
      <c r="H12" s="9"/>
      <c r="I12" s="9"/>
      <c r="J12" s="9"/>
    </row>
    <row r="13" customFormat="false" ht="23.85" hidden="false" customHeight="false" outlineLevel="0" collapsed="false">
      <c r="A13" s="8" t="s">
        <v>461</v>
      </c>
      <c r="B13" s="8" t="s">
        <v>466</v>
      </c>
      <c r="C13" s="8" t="s">
        <v>27</v>
      </c>
      <c r="D13" s="8" t="n">
        <v>6</v>
      </c>
      <c r="E13" s="8"/>
      <c r="F13" s="8" t="s">
        <v>43</v>
      </c>
      <c r="G13" s="8" t="s">
        <v>467</v>
      </c>
      <c r="H13" s="9"/>
      <c r="I13" s="9"/>
      <c r="J13" s="9"/>
    </row>
    <row r="14" customFormat="false" ht="23.85" hidden="false" customHeight="false" outlineLevel="0" collapsed="false">
      <c r="A14" s="8" t="s">
        <v>461</v>
      </c>
      <c r="B14" s="8" t="s">
        <v>468</v>
      </c>
      <c r="C14" s="8" t="s">
        <v>27</v>
      </c>
      <c r="D14" s="8" t="n">
        <v>5</v>
      </c>
      <c r="E14" s="8" t="s">
        <v>42</v>
      </c>
      <c r="F14" s="8" t="s">
        <v>43</v>
      </c>
      <c r="G14" s="8"/>
      <c r="H14" s="9"/>
      <c r="I14" s="9"/>
      <c r="J14" s="9"/>
    </row>
    <row r="15" customFormat="false" ht="23.85" hidden="false" customHeight="false" outlineLevel="0" collapsed="false">
      <c r="A15" s="8" t="s">
        <v>461</v>
      </c>
      <c r="B15" s="8" t="s">
        <v>469</v>
      </c>
      <c r="C15" s="8" t="s">
        <v>27</v>
      </c>
      <c r="D15" s="8" t="n">
        <v>2.5</v>
      </c>
      <c r="E15" s="8" t="s">
        <v>42</v>
      </c>
      <c r="F15" s="8" t="s">
        <v>43</v>
      </c>
      <c r="G15" s="8"/>
      <c r="H15" s="9"/>
      <c r="I15" s="9"/>
      <c r="J15" s="9"/>
    </row>
    <row r="16" customFormat="false" ht="23.85" hidden="false" customHeight="false" outlineLevel="0" collapsed="false">
      <c r="A16" s="8" t="s">
        <v>461</v>
      </c>
      <c r="B16" s="8" t="s">
        <v>146</v>
      </c>
      <c r="C16" s="8" t="s">
        <v>27</v>
      </c>
      <c r="D16" s="8" t="n">
        <v>5</v>
      </c>
      <c r="E16" s="8" t="s">
        <v>28</v>
      </c>
      <c r="F16" s="8" t="s">
        <v>39</v>
      </c>
      <c r="G16" s="8"/>
      <c r="H16" s="9"/>
      <c r="I16" s="9"/>
      <c r="J16" s="9"/>
    </row>
    <row r="17" customFormat="false" ht="15" hidden="false" customHeight="false" outlineLevel="0" collapsed="false">
      <c r="A17" s="10" t="s">
        <v>454</v>
      </c>
      <c r="B17" s="10" t="s">
        <v>439</v>
      </c>
      <c r="C17" s="10" t="s">
        <v>85</v>
      </c>
      <c r="D17" s="10" t="n">
        <v>10</v>
      </c>
      <c r="E17" s="10" t="s">
        <v>74</v>
      </c>
      <c r="F17" s="10" t="s">
        <v>216</v>
      </c>
      <c r="G17" s="10"/>
      <c r="H17" s="9"/>
      <c r="I17" s="9"/>
      <c r="J17" s="9"/>
    </row>
    <row r="18" customFormat="false" ht="15" hidden="false" customHeight="false" outlineLevel="0" collapsed="false">
      <c r="A18" s="10" t="s">
        <v>458</v>
      </c>
      <c r="B18" s="10" t="s">
        <v>156</v>
      </c>
      <c r="C18" s="10" t="s">
        <v>85</v>
      </c>
      <c r="D18" s="10" t="n">
        <v>25</v>
      </c>
      <c r="E18" s="10" t="s">
        <v>50</v>
      </c>
      <c r="F18" s="10" t="s">
        <v>75</v>
      </c>
      <c r="G18" s="10"/>
      <c r="H18" s="9"/>
      <c r="I18" s="9"/>
      <c r="J18" s="9"/>
    </row>
    <row r="19" customFormat="false" ht="23.85" hidden="false" customHeight="false" outlineLevel="0" collapsed="false">
      <c r="A19" s="10" t="s">
        <v>458</v>
      </c>
      <c r="B19" s="10" t="s">
        <v>470</v>
      </c>
      <c r="C19" s="10" t="s">
        <v>85</v>
      </c>
      <c r="D19" s="10" t="n">
        <v>50</v>
      </c>
      <c r="E19" s="10" t="s">
        <v>102</v>
      </c>
      <c r="F19" s="10" t="s">
        <v>75</v>
      </c>
      <c r="G19" s="10"/>
      <c r="H19" s="9"/>
      <c r="I19" s="9"/>
      <c r="J19" s="9"/>
    </row>
    <row r="20" customFormat="false" ht="23.85" hidden="false" customHeight="false" outlineLevel="0" collapsed="false">
      <c r="A20" s="10" t="s">
        <v>461</v>
      </c>
      <c r="B20" s="10" t="s">
        <v>257</v>
      </c>
      <c r="C20" s="10" t="s">
        <v>85</v>
      </c>
      <c r="D20" s="10" t="n">
        <v>0.5</v>
      </c>
      <c r="E20" s="10" t="s">
        <v>102</v>
      </c>
      <c r="F20" s="10" t="s">
        <v>212</v>
      </c>
      <c r="G20" s="10"/>
      <c r="H20" s="9"/>
      <c r="I20" s="9"/>
      <c r="J20" s="9"/>
    </row>
    <row r="21" customFormat="false" ht="23.85" hidden="false" customHeight="false" outlineLevel="0" collapsed="false">
      <c r="A21" s="10" t="s">
        <v>461</v>
      </c>
      <c r="B21" s="10" t="s">
        <v>471</v>
      </c>
      <c r="C21" s="10" t="s">
        <v>85</v>
      </c>
      <c r="D21" s="10" t="n">
        <v>25</v>
      </c>
      <c r="E21" s="10" t="s">
        <v>50</v>
      </c>
      <c r="F21" s="10" t="s">
        <v>75</v>
      </c>
      <c r="G21" s="10"/>
      <c r="H21" s="9"/>
      <c r="I21" s="9"/>
      <c r="J21" s="9"/>
    </row>
    <row r="22" customFormat="false" ht="23.85" hidden="false" customHeight="false" outlineLevel="0" collapsed="false">
      <c r="A22" s="10" t="s">
        <v>461</v>
      </c>
      <c r="B22" s="10" t="s">
        <v>470</v>
      </c>
      <c r="C22" s="10" t="s">
        <v>85</v>
      </c>
      <c r="D22" s="10" t="n">
        <v>50</v>
      </c>
      <c r="E22" s="10" t="s">
        <v>102</v>
      </c>
      <c r="F22" s="10" t="s">
        <v>75</v>
      </c>
      <c r="G22" s="10"/>
      <c r="H22" s="9"/>
      <c r="I22" s="9"/>
      <c r="J22" s="9"/>
    </row>
    <row r="23" customFormat="false" ht="46.25" hidden="false" customHeight="false" outlineLevel="0" collapsed="false">
      <c r="A23" s="10" t="s">
        <v>454</v>
      </c>
      <c r="B23" s="10" t="s">
        <v>472</v>
      </c>
      <c r="C23" s="10" t="s">
        <v>105</v>
      </c>
      <c r="D23" s="10" t="n">
        <v>0</v>
      </c>
      <c r="E23" s="10"/>
      <c r="F23" s="10"/>
      <c r="G23" s="10" t="s">
        <v>473</v>
      </c>
      <c r="H23" s="9"/>
      <c r="I23" s="9"/>
      <c r="J23" s="9"/>
    </row>
    <row r="24" customFormat="false" ht="23.85" hidden="false" customHeight="false" outlineLevel="0" collapsed="false">
      <c r="A24" s="10" t="s">
        <v>454</v>
      </c>
      <c r="B24" s="10" t="s">
        <v>474</v>
      </c>
      <c r="C24" s="10" t="s">
        <v>105</v>
      </c>
      <c r="D24" s="10" t="s">
        <v>223</v>
      </c>
      <c r="E24" s="10"/>
      <c r="F24" s="10"/>
      <c r="G24" s="10" t="s">
        <v>475</v>
      </c>
      <c r="H24" s="9"/>
      <c r="I24" s="9"/>
      <c r="J24" s="9"/>
    </row>
    <row r="25" customFormat="false" ht="46.25" hidden="false" customHeight="false" outlineLevel="0" collapsed="false">
      <c r="A25" s="10" t="s">
        <v>458</v>
      </c>
      <c r="B25" s="10" t="s">
        <v>476</v>
      </c>
      <c r="C25" s="10" t="s">
        <v>105</v>
      </c>
      <c r="D25" s="10" t="n">
        <v>0</v>
      </c>
      <c r="E25" s="10"/>
      <c r="F25" s="10"/>
      <c r="G25" s="10" t="s">
        <v>477</v>
      </c>
      <c r="H25" s="9"/>
      <c r="I25" s="9"/>
      <c r="J25" s="9"/>
    </row>
    <row r="26" customFormat="false" ht="23.85" hidden="false" customHeight="false" outlineLevel="0" collapsed="false">
      <c r="A26" s="10" t="s">
        <v>458</v>
      </c>
      <c r="B26" s="10" t="s">
        <v>478</v>
      </c>
      <c r="C26" s="10" t="s">
        <v>105</v>
      </c>
      <c r="D26" s="10" t="s">
        <v>108</v>
      </c>
      <c r="E26" s="10"/>
      <c r="F26" s="10"/>
      <c r="G26" s="10" t="s">
        <v>479</v>
      </c>
      <c r="H26" s="9"/>
      <c r="I26" s="9"/>
      <c r="J26" s="9"/>
    </row>
    <row r="27" customFormat="false" ht="57.45" hidden="false" customHeight="false" outlineLevel="0" collapsed="false">
      <c r="A27" s="10" t="s">
        <v>461</v>
      </c>
      <c r="B27" s="10" t="s">
        <v>480</v>
      </c>
      <c r="C27" s="10" t="s">
        <v>105</v>
      </c>
      <c r="D27" s="10" t="n">
        <v>0</v>
      </c>
      <c r="E27" s="10"/>
      <c r="F27" s="10"/>
      <c r="G27" s="10" t="s">
        <v>481</v>
      </c>
      <c r="H27" s="9"/>
      <c r="I27" s="9"/>
      <c r="J27" s="9"/>
    </row>
  </sheetData>
  <autoFilter ref="A4:J27"/>
  <dataValidations count="1">
    <dataValidation allowBlank="true" errorStyle="stop" operator="between" showDropDown="false" showErrorMessage="false" showInputMessage="false" sqref="H5:H27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23.85" hidden="false" customHeight="false" outlineLevel="0" collapsed="false">
      <c r="A5" s="10" t="s">
        <v>482</v>
      </c>
      <c r="B5" s="10" t="s">
        <v>483</v>
      </c>
      <c r="C5" s="10" t="s">
        <v>85</v>
      </c>
      <c r="D5" s="10" t="n">
        <v>6</v>
      </c>
      <c r="E5" s="10" t="s">
        <v>68</v>
      </c>
      <c r="F5" s="10" t="s">
        <v>75</v>
      </c>
      <c r="G5" s="10" t="s">
        <v>484</v>
      </c>
      <c r="H5" s="9"/>
      <c r="I5" s="9"/>
      <c r="J5" s="9"/>
    </row>
    <row r="6" customFormat="false" ht="15" hidden="false" customHeight="false" outlineLevel="0" collapsed="false">
      <c r="A6" s="10" t="s">
        <v>482</v>
      </c>
      <c r="B6" s="10" t="s">
        <v>485</v>
      </c>
      <c r="C6" s="10" t="s">
        <v>105</v>
      </c>
      <c r="D6" s="10" t="n">
        <v>60</v>
      </c>
      <c r="E6" s="10"/>
      <c r="F6" s="10"/>
      <c r="G6" s="10" t="s">
        <v>486</v>
      </c>
      <c r="H6" s="9"/>
      <c r="I6" s="9"/>
      <c r="J6" s="9"/>
    </row>
    <row r="7" customFormat="false" ht="23.85" hidden="false" customHeight="false" outlineLevel="0" collapsed="false">
      <c r="A7" s="10" t="s">
        <v>482</v>
      </c>
      <c r="B7" s="10" t="s">
        <v>487</v>
      </c>
      <c r="C7" s="10" t="s">
        <v>105</v>
      </c>
      <c r="D7" s="10" t="s">
        <v>223</v>
      </c>
      <c r="E7" s="10"/>
      <c r="F7" s="10"/>
      <c r="G7" s="10"/>
      <c r="H7" s="9"/>
      <c r="I7" s="9"/>
      <c r="J7" s="9"/>
    </row>
  </sheetData>
  <autoFilter ref="A4:J7"/>
  <dataValidations count="1">
    <dataValidation allowBlank="true" errorStyle="stop" operator="between" showDropDown="false" showErrorMessage="false" showInputMessage="false" sqref="H5:H7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3" t="s">
        <v>34</v>
      </c>
      <c r="B2" s="6"/>
      <c r="C2" s="3" t="s">
        <v>35</v>
      </c>
      <c r="D2" s="6"/>
    </row>
    <row r="4" customFormat="false" ht="26.8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</row>
    <row r="5" customFormat="false" ht="15" hidden="false" customHeight="false" outlineLevel="0" collapsed="false">
      <c r="A5" s="8" t="s">
        <v>488</v>
      </c>
      <c r="B5" s="8" t="s">
        <v>465</v>
      </c>
      <c r="C5" s="8" t="s">
        <v>27</v>
      </c>
      <c r="D5" s="8" t="n">
        <v>0.3</v>
      </c>
      <c r="E5" s="8" t="s">
        <v>489</v>
      </c>
      <c r="F5" s="8" t="s">
        <v>43</v>
      </c>
      <c r="G5" s="8" t="s">
        <v>490</v>
      </c>
      <c r="H5" s="9"/>
      <c r="I5" s="9"/>
      <c r="J5" s="9"/>
    </row>
    <row r="6" customFormat="false" ht="23.85" hidden="false" customHeight="false" outlineLevel="0" collapsed="false">
      <c r="A6" s="8" t="s">
        <v>491</v>
      </c>
      <c r="B6" s="8" t="s">
        <v>492</v>
      </c>
      <c r="C6" s="8" t="s">
        <v>27</v>
      </c>
      <c r="D6" s="8" t="n">
        <v>20</v>
      </c>
      <c r="E6" s="8" t="s">
        <v>58</v>
      </c>
      <c r="F6" s="8" t="s">
        <v>65</v>
      </c>
      <c r="G6" s="8"/>
      <c r="H6" s="9"/>
      <c r="I6" s="9"/>
      <c r="J6" s="9"/>
    </row>
    <row r="7" customFormat="false" ht="15" hidden="false" customHeight="false" outlineLevel="0" collapsed="false">
      <c r="A7" s="8" t="s">
        <v>491</v>
      </c>
      <c r="B7" s="8" t="s">
        <v>493</v>
      </c>
      <c r="C7" s="8" t="s">
        <v>27</v>
      </c>
      <c r="D7" s="8" t="n">
        <v>6</v>
      </c>
      <c r="E7" s="8"/>
      <c r="F7" s="8" t="s">
        <v>75</v>
      </c>
      <c r="G7" s="8"/>
      <c r="H7" s="9"/>
      <c r="I7" s="9"/>
      <c r="J7" s="9"/>
    </row>
    <row r="8" customFormat="false" ht="23.85" hidden="false" customHeight="false" outlineLevel="0" collapsed="false">
      <c r="A8" s="8" t="s">
        <v>494</v>
      </c>
      <c r="B8" s="8" t="s">
        <v>495</v>
      </c>
      <c r="C8" s="8" t="s">
        <v>27</v>
      </c>
      <c r="D8" s="8" t="n">
        <v>12</v>
      </c>
      <c r="E8" s="8" t="s">
        <v>68</v>
      </c>
      <c r="F8" s="8" t="s">
        <v>496</v>
      </c>
      <c r="G8" s="8" t="s">
        <v>497</v>
      </c>
      <c r="H8" s="9"/>
      <c r="I8" s="9"/>
      <c r="J8" s="9"/>
    </row>
    <row r="9" customFormat="false" ht="23.85" hidden="false" customHeight="false" outlineLevel="0" collapsed="false">
      <c r="A9" s="8" t="s">
        <v>498</v>
      </c>
      <c r="B9" s="8" t="s">
        <v>499</v>
      </c>
      <c r="C9" s="8" t="s">
        <v>27</v>
      </c>
      <c r="D9" s="8" t="n">
        <v>13</v>
      </c>
      <c r="E9" s="8"/>
      <c r="F9" s="8" t="s">
        <v>75</v>
      </c>
      <c r="G9" s="8" t="s">
        <v>500</v>
      </c>
      <c r="H9" s="9"/>
      <c r="I9" s="9"/>
      <c r="J9" s="9"/>
    </row>
    <row r="10" customFormat="false" ht="15" hidden="false" customHeight="false" outlineLevel="0" collapsed="false">
      <c r="A10" s="8" t="s">
        <v>498</v>
      </c>
      <c r="B10" s="8" t="s">
        <v>501</v>
      </c>
      <c r="C10" s="8" t="s">
        <v>27</v>
      </c>
      <c r="D10" s="8" t="n">
        <v>2.5</v>
      </c>
      <c r="E10" s="8"/>
      <c r="F10" s="8" t="s">
        <v>216</v>
      </c>
      <c r="G10" s="8"/>
      <c r="H10" s="9"/>
      <c r="I10" s="9"/>
      <c r="J10" s="9"/>
    </row>
    <row r="11" customFormat="false" ht="15" hidden="false" customHeight="false" outlineLevel="0" collapsed="false">
      <c r="A11" s="8" t="s">
        <v>498</v>
      </c>
      <c r="B11" s="8" t="s">
        <v>502</v>
      </c>
      <c r="C11" s="8" t="s">
        <v>27</v>
      </c>
      <c r="D11" s="8" t="n">
        <v>3</v>
      </c>
      <c r="E11" s="8"/>
      <c r="F11" s="8" t="s">
        <v>43</v>
      </c>
      <c r="G11" s="8"/>
      <c r="H11" s="9"/>
      <c r="I11" s="9"/>
      <c r="J11" s="9"/>
    </row>
    <row r="12" customFormat="false" ht="23.85" hidden="false" customHeight="false" outlineLevel="0" collapsed="false">
      <c r="A12" s="8" t="s">
        <v>498</v>
      </c>
      <c r="B12" s="8" t="s">
        <v>503</v>
      </c>
      <c r="C12" s="8" t="s">
        <v>27</v>
      </c>
      <c r="D12" s="8" t="n">
        <v>1</v>
      </c>
      <c r="E12" s="8"/>
      <c r="F12" s="8" t="s">
        <v>43</v>
      </c>
      <c r="G12" s="8" t="s">
        <v>504</v>
      </c>
      <c r="H12" s="9"/>
      <c r="I12" s="9"/>
      <c r="J12" s="9"/>
    </row>
    <row r="13" customFormat="false" ht="23.85" hidden="false" customHeight="false" outlineLevel="0" collapsed="false">
      <c r="A13" s="8" t="s">
        <v>498</v>
      </c>
      <c r="B13" s="8" t="s">
        <v>40</v>
      </c>
      <c r="C13" s="8" t="s">
        <v>27</v>
      </c>
      <c r="D13" s="8" t="n">
        <v>5</v>
      </c>
      <c r="E13" s="8" t="s">
        <v>28</v>
      </c>
      <c r="F13" s="8" t="s">
        <v>39</v>
      </c>
      <c r="G13" s="8"/>
      <c r="H13" s="9"/>
      <c r="I13" s="9"/>
      <c r="J13" s="9"/>
    </row>
    <row r="14" customFormat="false" ht="23.85" hidden="false" customHeight="false" outlineLevel="0" collapsed="false">
      <c r="A14" s="8" t="s">
        <v>505</v>
      </c>
      <c r="B14" s="8" t="s">
        <v>506</v>
      </c>
      <c r="C14" s="8" t="s">
        <v>27</v>
      </c>
      <c r="D14" s="8" t="n">
        <v>10</v>
      </c>
      <c r="E14" s="8" t="s">
        <v>58</v>
      </c>
      <c r="F14" s="8" t="s">
        <v>507</v>
      </c>
      <c r="G14" s="8" t="s">
        <v>508</v>
      </c>
      <c r="H14" s="9"/>
      <c r="I14" s="9"/>
      <c r="J14" s="9"/>
    </row>
    <row r="15" customFormat="false" ht="23.85" hidden="false" customHeight="false" outlineLevel="0" collapsed="false">
      <c r="A15" s="8" t="s">
        <v>505</v>
      </c>
      <c r="B15" s="8" t="s">
        <v>503</v>
      </c>
      <c r="C15" s="8" t="s">
        <v>27</v>
      </c>
      <c r="D15" s="8" t="n">
        <v>1</v>
      </c>
      <c r="E15" s="8"/>
      <c r="F15" s="8" t="s">
        <v>43</v>
      </c>
      <c r="G15" s="8" t="s">
        <v>504</v>
      </c>
      <c r="H15" s="9"/>
      <c r="I15" s="9"/>
      <c r="J15" s="9"/>
    </row>
    <row r="16" customFormat="false" ht="23.85" hidden="false" customHeight="false" outlineLevel="0" collapsed="false">
      <c r="A16" s="8" t="s">
        <v>505</v>
      </c>
      <c r="B16" s="8" t="s">
        <v>40</v>
      </c>
      <c r="C16" s="8" t="s">
        <v>27</v>
      </c>
      <c r="D16" s="8" t="n">
        <v>7</v>
      </c>
      <c r="E16" s="8" t="s">
        <v>28</v>
      </c>
      <c r="F16" s="8" t="s">
        <v>39</v>
      </c>
      <c r="G16" s="8"/>
      <c r="H16" s="9"/>
      <c r="I16" s="9"/>
      <c r="J16" s="9"/>
    </row>
    <row r="17" customFormat="false" ht="23.85" hidden="false" customHeight="false" outlineLevel="0" collapsed="false">
      <c r="A17" s="10" t="s">
        <v>488</v>
      </c>
      <c r="B17" s="10" t="s">
        <v>509</v>
      </c>
      <c r="C17" s="10" t="s">
        <v>85</v>
      </c>
      <c r="D17" s="10" t="n">
        <v>15</v>
      </c>
      <c r="E17" s="10" t="s">
        <v>58</v>
      </c>
      <c r="F17" s="10" t="s">
        <v>510</v>
      </c>
      <c r="G17" s="10" t="s">
        <v>511</v>
      </c>
      <c r="H17" s="9"/>
      <c r="I17" s="9"/>
      <c r="J17" s="9"/>
    </row>
    <row r="18" customFormat="false" ht="23.85" hidden="false" customHeight="false" outlineLevel="0" collapsed="false">
      <c r="A18" s="10" t="s">
        <v>488</v>
      </c>
      <c r="B18" s="10" t="s">
        <v>512</v>
      </c>
      <c r="C18" s="10" t="s">
        <v>85</v>
      </c>
      <c r="D18" s="10" t="n">
        <v>5</v>
      </c>
      <c r="E18" s="10" t="s">
        <v>368</v>
      </c>
      <c r="F18" s="10" t="s">
        <v>216</v>
      </c>
      <c r="G18" s="10"/>
      <c r="H18" s="9"/>
      <c r="I18" s="9"/>
      <c r="J18" s="9"/>
    </row>
    <row r="19" customFormat="false" ht="23.85" hidden="false" customHeight="false" outlineLevel="0" collapsed="false">
      <c r="A19" s="10" t="s">
        <v>488</v>
      </c>
      <c r="B19" s="10" t="s">
        <v>513</v>
      </c>
      <c r="C19" s="10" t="s">
        <v>85</v>
      </c>
      <c r="D19" s="10" t="n">
        <v>2.5</v>
      </c>
      <c r="E19" s="10" t="s">
        <v>68</v>
      </c>
      <c r="F19" s="10" t="s">
        <v>216</v>
      </c>
      <c r="G19" s="10"/>
      <c r="H19" s="9"/>
      <c r="I19" s="9"/>
      <c r="J19" s="9"/>
    </row>
    <row r="20" customFormat="false" ht="23.85" hidden="false" customHeight="false" outlineLevel="0" collapsed="false">
      <c r="A20" s="10" t="s">
        <v>491</v>
      </c>
      <c r="B20" s="10" t="s">
        <v>514</v>
      </c>
      <c r="C20" s="10" t="s">
        <v>85</v>
      </c>
      <c r="D20" s="10" t="n">
        <v>1</v>
      </c>
      <c r="E20" s="10" t="s">
        <v>68</v>
      </c>
      <c r="F20" s="10" t="s">
        <v>208</v>
      </c>
      <c r="G20" s="10" t="s">
        <v>515</v>
      </c>
      <c r="H20" s="9"/>
      <c r="I20" s="9"/>
      <c r="J20" s="9"/>
    </row>
    <row r="21" customFormat="false" ht="15" hidden="false" customHeight="false" outlineLevel="0" collapsed="false">
      <c r="A21" s="10" t="s">
        <v>491</v>
      </c>
      <c r="B21" s="10" t="s">
        <v>516</v>
      </c>
      <c r="C21" s="10" t="s">
        <v>85</v>
      </c>
      <c r="D21" s="10" t="n">
        <v>2.5</v>
      </c>
      <c r="E21" s="10" t="s">
        <v>68</v>
      </c>
      <c r="F21" s="10" t="s">
        <v>216</v>
      </c>
      <c r="G21" s="10"/>
      <c r="H21" s="9"/>
      <c r="I21" s="9"/>
      <c r="J21" s="9"/>
    </row>
    <row r="22" customFormat="false" ht="23.85" hidden="false" customHeight="false" outlineLevel="0" collapsed="false">
      <c r="A22" s="10" t="s">
        <v>491</v>
      </c>
      <c r="B22" s="10" t="s">
        <v>517</v>
      </c>
      <c r="C22" s="10" t="s">
        <v>85</v>
      </c>
      <c r="D22" s="10" t="n">
        <v>1</v>
      </c>
      <c r="E22" s="10" t="s">
        <v>68</v>
      </c>
      <c r="F22" s="10" t="s">
        <v>208</v>
      </c>
      <c r="G22" s="10"/>
      <c r="H22" s="9"/>
      <c r="I22" s="9"/>
      <c r="J22" s="9"/>
    </row>
    <row r="23" customFormat="false" ht="23.85" hidden="false" customHeight="false" outlineLevel="0" collapsed="false">
      <c r="A23" s="10" t="s">
        <v>491</v>
      </c>
      <c r="B23" s="10" t="s">
        <v>518</v>
      </c>
      <c r="C23" s="10" t="s">
        <v>85</v>
      </c>
      <c r="D23" s="10" t="n">
        <v>3</v>
      </c>
      <c r="E23" s="10" t="s">
        <v>102</v>
      </c>
      <c r="F23" s="10" t="s">
        <v>216</v>
      </c>
      <c r="G23" s="10"/>
      <c r="H23" s="9"/>
      <c r="I23" s="9"/>
      <c r="J23" s="9"/>
    </row>
    <row r="24" customFormat="false" ht="23.85" hidden="false" customHeight="false" outlineLevel="0" collapsed="false">
      <c r="A24" s="10" t="s">
        <v>491</v>
      </c>
      <c r="B24" s="10" t="s">
        <v>519</v>
      </c>
      <c r="C24" s="10" t="s">
        <v>85</v>
      </c>
      <c r="D24" s="10" t="n">
        <v>20</v>
      </c>
      <c r="E24" s="10" t="s">
        <v>102</v>
      </c>
      <c r="F24" s="10" t="s">
        <v>75</v>
      </c>
      <c r="G24" s="10"/>
      <c r="H24" s="9"/>
      <c r="I24" s="9"/>
      <c r="J24" s="9"/>
    </row>
    <row r="25" customFormat="false" ht="23.85" hidden="false" customHeight="false" outlineLevel="0" collapsed="false">
      <c r="A25" s="10" t="s">
        <v>494</v>
      </c>
      <c r="B25" s="10" t="s">
        <v>520</v>
      </c>
      <c r="C25" s="10" t="s">
        <v>85</v>
      </c>
      <c r="D25" s="10" t="n">
        <v>4</v>
      </c>
      <c r="E25" s="10" t="s">
        <v>68</v>
      </c>
      <c r="F25" s="10" t="s">
        <v>75</v>
      </c>
      <c r="G25" s="10"/>
      <c r="H25" s="9"/>
      <c r="I25" s="9"/>
      <c r="J25" s="9"/>
    </row>
    <row r="26" customFormat="false" ht="23.85" hidden="false" customHeight="false" outlineLevel="0" collapsed="false">
      <c r="A26" s="10" t="s">
        <v>494</v>
      </c>
      <c r="B26" s="10" t="s">
        <v>521</v>
      </c>
      <c r="C26" s="10" t="s">
        <v>85</v>
      </c>
      <c r="D26" s="10" t="n">
        <v>2</v>
      </c>
      <c r="E26" s="10" t="s">
        <v>68</v>
      </c>
      <c r="F26" s="10" t="s">
        <v>216</v>
      </c>
      <c r="G26" s="10"/>
      <c r="H26" s="9"/>
      <c r="I26" s="9"/>
      <c r="J26" s="9"/>
    </row>
    <row r="27" customFormat="false" ht="23.85" hidden="false" customHeight="false" outlineLevel="0" collapsed="false">
      <c r="A27" s="10" t="s">
        <v>498</v>
      </c>
      <c r="B27" s="10" t="s">
        <v>522</v>
      </c>
      <c r="C27" s="10" t="s">
        <v>85</v>
      </c>
      <c r="D27" s="10" t="n">
        <v>34</v>
      </c>
      <c r="E27" s="10" t="s">
        <v>58</v>
      </c>
      <c r="F27" s="10" t="s">
        <v>65</v>
      </c>
      <c r="G27" s="10" t="s">
        <v>523</v>
      </c>
      <c r="H27" s="9"/>
      <c r="I27" s="9"/>
      <c r="J27" s="9"/>
    </row>
    <row r="28" customFormat="false" ht="15" hidden="false" customHeight="false" outlineLevel="0" collapsed="false">
      <c r="A28" s="10" t="s">
        <v>498</v>
      </c>
      <c r="B28" s="10" t="s">
        <v>524</v>
      </c>
      <c r="C28" s="10" t="s">
        <v>85</v>
      </c>
      <c r="D28" s="10" t="n">
        <v>4</v>
      </c>
      <c r="E28" s="10" t="s">
        <v>68</v>
      </c>
      <c r="F28" s="10" t="s">
        <v>75</v>
      </c>
      <c r="G28" s="10"/>
      <c r="H28" s="9"/>
      <c r="I28" s="9"/>
      <c r="J28" s="9"/>
    </row>
    <row r="29" customFormat="false" ht="23.85" hidden="false" customHeight="false" outlineLevel="0" collapsed="false">
      <c r="A29" s="10" t="s">
        <v>498</v>
      </c>
      <c r="B29" s="10" t="s">
        <v>525</v>
      </c>
      <c r="C29" s="10" t="s">
        <v>85</v>
      </c>
      <c r="D29" s="10" t="n">
        <v>75</v>
      </c>
      <c r="E29" s="10" t="s">
        <v>102</v>
      </c>
      <c r="F29" s="10" t="s">
        <v>75</v>
      </c>
      <c r="G29" s="10"/>
      <c r="H29" s="9"/>
      <c r="I29" s="9"/>
      <c r="J29" s="9"/>
    </row>
    <row r="30" customFormat="false" ht="23.85" hidden="false" customHeight="false" outlineLevel="0" collapsed="false">
      <c r="A30" s="10" t="s">
        <v>498</v>
      </c>
      <c r="B30" s="10" t="s">
        <v>526</v>
      </c>
      <c r="C30" s="10" t="s">
        <v>85</v>
      </c>
      <c r="D30" s="10" t="n">
        <v>2</v>
      </c>
      <c r="E30" s="10" t="s">
        <v>68</v>
      </c>
      <c r="F30" s="10" t="s">
        <v>216</v>
      </c>
      <c r="G30" s="10"/>
      <c r="H30" s="9"/>
      <c r="I30" s="9"/>
      <c r="J30" s="9"/>
    </row>
    <row r="31" customFormat="false" ht="15" hidden="false" customHeight="false" outlineLevel="0" collapsed="false">
      <c r="A31" s="10" t="s">
        <v>505</v>
      </c>
      <c r="B31" s="10" t="s">
        <v>524</v>
      </c>
      <c r="C31" s="10" t="s">
        <v>85</v>
      </c>
      <c r="D31" s="10" t="n">
        <v>4</v>
      </c>
      <c r="E31" s="10" t="s">
        <v>68</v>
      </c>
      <c r="F31" s="10" t="s">
        <v>75</v>
      </c>
      <c r="G31" s="10"/>
      <c r="H31" s="9"/>
      <c r="I31" s="9"/>
      <c r="J31" s="9"/>
    </row>
    <row r="32" customFormat="false" ht="23.85" hidden="false" customHeight="false" outlineLevel="0" collapsed="false">
      <c r="A32" s="10" t="s">
        <v>505</v>
      </c>
      <c r="B32" s="10" t="s">
        <v>525</v>
      </c>
      <c r="C32" s="10" t="s">
        <v>85</v>
      </c>
      <c r="D32" s="10" t="n">
        <v>75</v>
      </c>
      <c r="E32" s="10" t="s">
        <v>102</v>
      </c>
      <c r="F32" s="10" t="s">
        <v>75</v>
      </c>
      <c r="G32" s="10"/>
      <c r="H32" s="9"/>
      <c r="I32" s="9"/>
      <c r="J32" s="9"/>
    </row>
    <row r="33" customFormat="false" ht="23.85" hidden="false" customHeight="false" outlineLevel="0" collapsed="false">
      <c r="A33" s="10" t="s">
        <v>505</v>
      </c>
      <c r="B33" s="10" t="s">
        <v>527</v>
      </c>
      <c r="C33" s="10" t="s">
        <v>85</v>
      </c>
      <c r="D33" s="10" t="n">
        <v>2.5</v>
      </c>
      <c r="E33" s="10" t="s">
        <v>102</v>
      </c>
      <c r="F33" s="10" t="s">
        <v>216</v>
      </c>
      <c r="G33" s="10"/>
      <c r="H33" s="9"/>
      <c r="I33" s="9"/>
      <c r="J33" s="9"/>
    </row>
    <row r="34" customFormat="false" ht="23.85" hidden="false" customHeight="false" outlineLevel="0" collapsed="false">
      <c r="A34" s="10" t="s">
        <v>505</v>
      </c>
      <c r="B34" s="10" t="s">
        <v>526</v>
      </c>
      <c r="C34" s="10" t="s">
        <v>85</v>
      </c>
      <c r="D34" s="10" t="n">
        <v>2</v>
      </c>
      <c r="E34" s="10" t="s">
        <v>68</v>
      </c>
      <c r="F34" s="10" t="s">
        <v>216</v>
      </c>
      <c r="G34" s="10"/>
      <c r="H34" s="9"/>
      <c r="I34" s="9"/>
      <c r="J34" s="9"/>
    </row>
    <row r="35" customFormat="false" ht="23.85" hidden="false" customHeight="false" outlineLevel="0" collapsed="false">
      <c r="A35" s="10" t="s">
        <v>491</v>
      </c>
      <c r="B35" s="10" t="s">
        <v>528</v>
      </c>
      <c r="C35" s="10" t="s">
        <v>105</v>
      </c>
      <c r="D35" s="10" t="n">
        <v>0</v>
      </c>
      <c r="E35" s="10"/>
      <c r="F35" s="10"/>
      <c r="G35" s="10" t="s">
        <v>529</v>
      </c>
      <c r="H35" s="9"/>
      <c r="I35" s="9"/>
      <c r="J35" s="9"/>
    </row>
    <row r="36" customFormat="false" ht="23.85" hidden="false" customHeight="false" outlineLevel="0" collapsed="false">
      <c r="A36" s="10" t="s">
        <v>505</v>
      </c>
      <c r="B36" s="10" t="s">
        <v>530</v>
      </c>
      <c r="C36" s="10" t="s">
        <v>105</v>
      </c>
      <c r="D36" s="10" t="n">
        <v>1</v>
      </c>
      <c r="E36" s="10"/>
      <c r="F36" s="10"/>
      <c r="G36" s="10" t="s">
        <v>531</v>
      </c>
      <c r="H36" s="9"/>
      <c r="I36" s="9"/>
      <c r="J36" s="9"/>
    </row>
  </sheetData>
  <autoFilter ref="A4:J36"/>
  <dataValidations count="1">
    <dataValidation allowBlank="true" errorStyle="stop" operator="between" showDropDown="false" showErrorMessage="false" showInputMessage="false" sqref="H5:H36" type="list">
      <formula1>"OK,À corriger,Dépend du produit,Je ne sais pas"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2026-10-04T17:04:13Z</dcterms:created>
  <dc:creator>openpyxl</dc:creator>
  <dc:description/>
  <dc:language>en-US</dc:language>
  <cp:lastModifiedBy/>
  <dcterms:modified xsi:type="dcterms:W3CDTF">2026-10-04T17:04:13Z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